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b5d2116f24e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주제별 묶음" sheetId="1" r:id="Rb1a6339c6900473f"/>
    <x:sheet xmlns:r="http://schemas.openxmlformats.org/officeDocument/2006/relationships" name="전체댓글" sheetId="2" r:id="Rb3008daec7d1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sz val="10"/>
      <x:color rgb="FF242333"/>
      <x:name val="Malgun Gothic"/>
    </x:font>
    <x:font>
      <x:b/>
      <x:sz val="16"/>
      <x:color rgb="FF453564"/>
      <x:name val="Malgun Gothic"/>
    </x:font>
    <x:font>
      <x:sz val="10"/>
      <x:color rgb="FF656173"/>
      <x:name val="Malgun Gothic"/>
    </x:font>
    <x:font>
      <x:b/>
      <x:sz val="10"/>
      <x:color rgb="FFFFFFFF"/>
      <x:name val="Malgun Gothic"/>
    </x:font>
    <x:font>
      <x:b/>
      <x:sz val="10"/>
      <x:color rgb="FF242333"/>
      <x:name val="Malgun Gothic"/>
    </x:font>
    <x:font>
      <x:b/>
      <x:sz val="10"/>
      <x:color rgb="FF673C84"/>
      <x:name val="Malgun Gothic"/>
    </x:font>
    <x:font>
      <x:b/>
      <x:sz val="10"/>
      <x:color rgb="FFA72D2D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554474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8ADC8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14654498b64500" /><Relationship Type="http://schemas.openxmlformats.org/officeDocument/2006/relationships/theme" Target="/xl/theme/theme1.xml" Id="R28608cdb4f4b43fb" /><Relationship Type="http://schemas.openxmlformats.org/officeDocument/2006/relationships/sharedStrings" Target="/xl/sharedStrings.xml" Id="R2b79af5319fe43bc" /><Relationship Type="http://schemas.openxmlformats.org/officeDocument/2006/relationships/worksheet" Target="/xl/worksheets/sheet1.xml" Id="Rb1a6339c6900473f" /><Relationship Type="http://schemas.openxmlformats.org/officeDocument/2006/relationships/worksheet" Target="/xl/worksheets/sheet2.xml" Id="Rb3008daec7d1477e" /></Relationships>
</file>

<file path=xl/tables/table1.xml><?xml version="1.0" encoding="utf-8"?>
<x:table xmlns:x="http://schemas.openxmlformats.org/spreadsheetml/2006/main" id="2" name="TopicGroups" displayName="TopicGroups" ref="A7:G36" headerRowCount="1" totalsRowCount="0" totalsRowShown="0">
  <x:tableColumns count="7">
    <x:tableColumn id="1" name="주제"/>
    <x:tableColumn id="2" name="대표 질문·내용"/>
    <x:tableColumn id="3" name="댓글 수"/>
    <x:tableColumn id="4" name="인스타그램"/>
    <x:tableColumn id="5" name="유튜브"/>
    <x:tableColumn id="6" name="X"/>
    <x:tableColumn id="7" name="통합 댓글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llComments" displayName="AllComments" ref="A7:M75" headerRowCount="1" totalsRowCount="0" totalsRowShown="0">
  <x:tableColumns count="13">
    <x:tableColumn id="1" name="통합 ID"/>
    <x:tableColumn id="2" name="플랫폼"/>
    <x:tableColumn id="3" name="작성자"/>
    <x:tableColumn id="4" name="내용 유형"/>
    <x:tableColumn id="5" name="대표 주제"/>
    <x:tableColumn id="6" name="전체 주제"/>
    <x:tableColumn id="7" name="댓글 원문"/>
    <x:tableColumn id="8" name="표시 시점"/>
    <x:tableColumn id="9" name="게시 시각(원본)"/>
    <x:tableColumn id="10" name="캡처 이미지"/>
    <x:tableColumn id="11" name="댓글 원문 링크"/>
    <x:tableColumn id="12" name="원본 번호"/>
    <x:tableColumn id="13" name="댓글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33cc854e1048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d8677ccdc74ce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4" hidden="0" customWidth="1"/>
    <x:col min="2" max="2" width="75" hidden="0" customWidth="1"/>
    <x:col min="3" max="3" width="12" hidden="0" customWidth="1"/>
    <x:col min="4" max="4" width="15" hidden="0" customWidth="1"/>
    <x:col min="5" max="5" width="12" hidden="0" customWidth="1"/>
    <x:col min="6" max="6" width="8" hidden="0" customWidth="1"/>
    <x:col min="7" max="7" width="64" hidden="0" customWidth="1"/>
  </x:cols>
  <x:sheetData>
    <x:row r="2">
      <x:c r="A2" s="3" t="str">
        <x:v>인스타그램·유튜브·X 통합 댓글 정리</x:v>
      </x:c>
      <x:c r="B2" s="2"/>
      <x:c r="C2" s="2"/>
      <x:c r="D2" s="2"/>
      <x:c r="E2" s="2"/>
      <x:c r="F2" s="2"/>
      <x:c r="G2" s="2"/>
    </x:row>
    <x:row r="3">
      <x:c r="A3" s="4"/>
      <x:c r="B3" s="2"/>
      <x:c r="C3" s="2"/>
      <x:c r="D3" s="2"/>
      <x:c r="E3" s="2"/>
      <x:c r="F3" s="2"/>
      <x:c r="G3" s="2"/>
    </x:row>
    <x:row r="4">
      <x:c r="A4" s="4" t="str">
        <x:v>직접 댓글 68개 · 인스타그램 51개 + 유튜브 11개 + X 6개 · 개별 캡처 68장 · 29개 주제</x:v>
      </x:c>
      <x:c r="B4" s="2"/>
      <x:c r="C4" s="2"/>
      <x:c r="D4" s="2"/>
      <x:c r="E4" s="2"/>
      <x:c r="F4" s="2"/>
      <x:c r="G4" s="2"/>
    </x:row>
    <x:row r="5">
      <x:c r="A5" s="4" t="str">
        <x:v>모든 댓글은 한 개 이상의 주제에 속합니다. 복수 주제에 속하는 댓글이 있어 주제별 수에는 중복이 있습니다.</x:v>
      </x:c>
      <x:c r="B5" s="2"/>
      <x:c r="C5" s="2"/>
      <x:c r="D5" s="2"/>
      <x:c r="E5" s="2"/>
      <x:c r="F5" s="2"/>
      <x:c r="G5" s="2"/>
    </x:row>
    <x:row r="6">
      <x:c r="A6" s="4"/>
      <x:c r="B6" s="2"/>
      <x:c r="C6" s="2"/>
      <x:c r="D6" s="2"/>
      <x:c r="E6" s="2"/>
      <x:c r="F6" s="2"/>
      <x:c r="G6" s="2"/>
    </x:row>
    <x:row r="7" ht="32" customHeight="1">
      <x:c r="A7" s="8" t="str">
        <x:v>주제</x:v>
      </x:c>
      <x:c r="B7" s="8" t="str">
        <x:v>대표 질문·내용</x:v>
      </x:c>
      <x:c r="C7" s="8" t="str">
        <x:v>댓글 수</x:v>
      </x:c>
      <x:c r="D7" s="8" t="str">
        <x:v>인스타그램</x:v>
      </x:c>
      <x:c r="E7" s="8" t="str">
        <x:v>유튜브</x:v>
      </x:c>
      <x:c r="F7" s="8" t="str">
        <x:v>X</x:v>
      </x:c>
      <x:c r="G7" s="8" t="str">
        <x:v>통합 댓글 ID</x:v>
      </x:c>
    </x:row>
    <x:row r="8" ht="48" customHeight="1">
      <x:c r="A8" s="9" t="str">
        <x:v>팀 결성·개발 시작 계기</x:v>
      </x:c>
      <x:c r="B8" s="10" t="str">
        <x:v>두 분은 어떻게 만났고, 함께 게임 개발·사업을 시작한 계기는 무엇인가요?</x:v>
      </x:c>
      <x:c r="C8" s="13" t="n">
        <x:f>COUNT('전체댓글'!L17,'전체댓글'!L20,'전체댓글'!L21,'전체댓글'!L23,'전체댓글'!L27,'전체댓글'!L31,'전체댓글'!L36,'전체댓글'!L38,'전체댓글'!L44,'전체댓글'!L45,'전체댓글'!L59,'전체댓글'!L60,'전체댓글'!L61)</x:f>
        <x:v>13</x:v>
      </x:c>
      <x:c r="D8" s="13" t="n">
        <x:f>COUNT('전체댓글'!L17,'전체댓글'!L20,'전체댓글'!L21,'전체댓글'!L23,'전체댓글'!L27,'전체댓글'!L31,'전체댓글'!L36,'전체댓글'!L38,'전체댓글'!L44,'전체댓글'!L45)</x:f>
        <x:v>10</x:v>
      </x:c>
      <x:c r="E8" s="13" t="n">
        <x:f>COUNT('전체댓글'!L59,'전체댓글'!L60,'전체댓글'!L61)</x:f>
        <x:v>3</x:v>
      </x:c>
      <x:c r="F8" s="13" t="n">
        <x:f>0</x:f>
        <x:v>0</x:v>
      </x:c>
      <x:c r="G8" s="9" t="str">
        <x:v>IG025, IG031, IG033, IG037, IG045, IG053, IG063, IG067, IG079, IG081, YT001, YT002, YT003</x:v>
      </x:c>
    </x:row>
    <x:row r="9" ht="48" customHeight="1">
      <x:c r="A9" s="9" t="str">
        <x:v>게임 소개·장르·기획 방향</x:v>
      </x:c>
      <x:c r="B9" s="10" t="str">
        <x:v>어떤 게임을 만들고 있으며, 소재·장르·방향성을 선택한 이유는 무엇인가요?</x:v>
      </x:c>
      <x:c r="C9" s="13" t="n">
        <x:f>COUNT('전체댓글'!L17,'전체댓글'!L21,'전체댓글'!L40,'전체댓글'!L52,'전체댓글'!L56)</x:f>
        <x:v>5</x:v>
      </x:c>
      <x:c r="D9" s="13" t="n">
        <x:f>COUNT('전체댓글'!L17,'전체댓글'!L21,'전체댓글'!L40,'전체댓글'!L52,'전체댓글'!L56)</x:f>
        <x:v>5</x:v>
      </x:c>
      <x:c r="E9" s="13" t="n">
        <x:f>0</x:f>
        <x:v>0</x:v>
      </x:c>
      <x:c r="F9" s="13" t="n">
        <x:f>0</x:f>
        <x:v>0</x:v>
      </x:c>
      <x:c r="G9" s="9" t="str">
        <x:v>IG025, IG033, IG071, IG095, IG103</x:v>
      </x:c>
    </x:row>
    <x:row r="10" ht="48" customHeight="1">
      <x:c r="A10" s="9" t="str">
        <x:v>식사·커피·회식 에피소드</x:v>
      </x:c>
      <x:c r="B10" s="10" t="str">
        <x:v>식사·커피 취향과 회식·음식 관련 에피소드는 무엇인가요?</x:v>
      </x:c>
      <x:c r="C10" s="13" t="n">
        <x:f>COUNT('전체댓글'!L34,'전체댓글'!L43,'전체댓글'!L53,'전체댓글'!L64,'전체댓글'!L68)</x:f>
        <x:v>5</x:v>
      </x:c>
      <x:c r="D10" s="13" t="n">
        <x:f>COUNT('전체댓글'!L34,'전체댓글'!L43,'전체댓글'!L53)</x:f>
        <x:v>3</x:v>
      </x:c>
      <x:c r="E10" s="13" t="n">
        <x:f>COUNT('전체댓글'!L64,'전체댓글'!L68)</x:f>
        <x:v>2</x:v>
      </x:c>
      <x:c r="F10" s="13" t="n">
        <x:f>0</x:f>
        <x:v>0</x:v>
      </x:c>
      <x:c r="G10" s="9" t="str">
        <x:v>IG059, IG077, IG097, YT006, YT010</x:v>
      </x:c>
    </x:row>
    <x:row r="11" ht="48" customHeight="1">
      <x:c r="A11" s="9" t="str">
        <x:v>일상·운동·장난 질문</x:v>
      </x:c>
      <x:c r="B11" s="10" t="str">
        <x:v>세탁·운동 등 가벼운 일상 질문과 장난 섞인 대화</x:v>
      </x:c>
      <x:c r="C11" s="13" t="n">
        <x:f>COUNT('전체댓글'!L9,'전체댓글'!L25,'전체댓글'!L49,'전체댓글'!L62,'전체댓글'!L73)</x:f>
        <x:v>5</x:v>
      </x:c>
      <x:c r="D11" s="13" t="n">
        <x:f>COUNT('전체댓글'!L9,'전체댓글'!L25,'전체댓글'!L49)</x:f>
        <x:v>3</x:v>
      </x:c>
      <x:c r="E11" s="13" t="n">
        <x:f>COUNT('전체댓글'!L62)</x:f>
        <x:v>1</x:v>
      </x:c>
      <x:c r="F11" s="13" t="n">
        <x:f>COUNT('전체댓글'!L73)</x:f>
        <x:v>1</x:v>
      </x:c>
      <x:c r="G11" s="9" t="str">
        <x:v>IG003, IG041, IG089, YT004, X004</x:v>
      </x:c>
    </x:row>
    <x:row r="12" ht="48" customHeight="1">
      <x:c r="A12" s="9" t="str">
        <x:v>출시·공개·얼리액세스</x:v>
      </x:c>
      <x:c r="B12" s="10" t="str">
        <x:v>게임 공개·출시 일정과 얼리액세스 계획은 어떻게 되나요?</x:v>
      </x:c>
      <x:c r="C12" s="13" t="n">
        <x:f>COUNT('전체댓글'!L28,'전체댓글'!L52,'전체댓글'!L54,'전체댓글'!L56)</x:f>
        <x:v>4</x:v>
      </x:c>
      <x:c r="D12" s="13" t="n">
        <x:f>COUNT('전체댓글'!L28,'전체댓글'!L52,'전체댓글'!L54,'전체댓글'!L56)</x:f>
        <x:v>4</x:v>
      </x:c>
      <x:c r="E12" s="13" t="n">
        <x:f>0</x:f>
        <x:v>0</x:v>
      </x:c>
      <x:c r="F12" s="13" t="n">
        <x:f>0</x:f>
        <x:v>0</x:v>
      </x:c>
      <x:c r="G12" s="9" t="str">
        <x:v>IG047, IG095, IG099, IG103</x:v>
      </x:c>
    </x:row>
    <x:row r="13" ht="48" customHeight="1">
      <x:c r="A13" s="9" t="str">
        <x:v>캐릭터 설정·외형 모티브</x:v>
      </x:c>
      <x:c r="B13" s="10" t="str">
        <x:v>뿔·버섯모자 등 캐릭터 디자인의 모티브와 실제 외형의 관계는 무엇인가요?</x:v>
      </x:c>
      <x:c r="C13" s="13" t="n">
        <x:f>COUNT('전체댓글'!L12,'전체댓글'!L47,'전체댓글'!L51,'전체댓글'!L66)</x:f>
        <x:v>4</x:v>
      </x:c>
      <x:c r="D13" s="13" t="n">
        <x:f>COUNT('전체댓글'!L12,'전체댓글'!L47,'전체댓글'!L51)</x:f>
        <x:v>3</x:v>
      </x:c>
      <x:c r="E13" s="13" t="n">
        <x:f>COUNT('전체댓글'!L66)</x:f>
        <x:v>1</x:v>
      </x:c>
      <x:c r="F13" s="13" t="n">
        <x:f>0</x:f>
        <x:v>0</x:v>
      </x:c>
      <x:c r="G13" s="9" t="str">
        <x:v>IG012, IG085, IG093, YT008</x:v>
      </x:c>
    </x:row>
    <x:row r="14" ht="48" customHeight="1">
      <x:c r="A14" s="9" t="str">
        <x:v>응원·시청 반응</x:v>
      </x:c>
      <x:c r="B14" s="10" t="str">
        <x:v>응원, 재미있다는 반응, 영상 시청 후기</x:v>
      </x:c>
      <x:c r="C14" s="13" t="n">
        <x:f>COUNT('전체댓글'!L32,'전체댓글'!L46,'전체댓글'!L58,'전체댓글'!L70)</x:f>
        <x:v>4</x:v>
      </x:c>
      <x:c r="D14" s="13" t="n">
        <x:f>COUNT('전체댓글'!L32,'전체댓글'!L46,'전체댓글'!L58)</x:f>
        <x:v>3</x:v>
      </x:c>
      <x:c r="E14" s="13" t="n">
        <x:f>0</x:f>
        <x:v>0</x:v>
      </x:c>
      <x:c r="F14" s="13" t="n">
        <x:f>COUNT('전체댓글'!L70)</x:f>
        <x:v>1</x:v>
      </x:c>
      <x:c r="G14" s="9" t="str">
        <x:v>IG055, IG083, IG106, X001</x:v>
      </x:c>
    </x:row>
    <x:row r="15" ht="48" customHeight="1">
      <x:c r="A15" s="9" t="str">
        <x:v>좋아하는 게임·주력 장르</x:v>
      </x:c>
      <x:c r="B15" s="10" t="str">
        <x:v>가장 좋아하는 게임과 주로 플레이하는 게임 장르는 무엇인가요?</x:v>
      </x:c>
      <x:c r="C15" s="13" t="n">
        <x:f>COUNT('전체댓글'!L15,'전체댓글'!L29,'전체댓글'!L57,'전체댓글'!L72)</x:f>
        <x:v>4</x:v>
      </x:c>
      <x:c r="D15" s="13" t="n">
        <x:f>COUNT('전체댓글'!L15,'전체댓글'!L29,'전체댓글'!L57)</x:f>
        <x:v>3</x:v>
      </x:c>
      <x:c r="E15" s="13" t="n">
        <x:f>0</x:f>
        <x:v>0</x:v>
      </x:c>
      <x:c r="F15" s="13" t="n">
        <x:f>COUNT('전체댓글'!L72)</x:f>
        <x:v>1</x:v>
      </x:c>
      <x:c r="G15" s="9" t="str">
        <x:v>IG021, IG049, IG105, X003</x:v>
      </x:c>
    </x:row>
    <x:row r="16" ht="48" customHeight="1">
      <x:c r="A16" s="9" t="str">
        <x:v>팀원·음악 인력 모집</x:v>
      </x:c>
      <x:c r="B16" s="10" t="str">
        <x:v>음악 담당이나 추가 팀원을 모집할 계획이 있나요?</x:v>
      </x:c>
      <x:c r="C16" s="13" t="n">
        <x:f>COUNT('전체댓글'!L19,'전체댓글'!L48,'전체댓글'!L50)</x:f>
        <x:v>3</x:v>
      </x:c>
      <x:c r="D16" s="13" t="n">
        <x:f>COUNT('전체댓글'!L19,'전체댓글'!L48,'전체댓글'!L50)</x:f>
        <x:v>3</x:v>
      </x:c>
      <x:c r="E16" s="13" t="n">
        <x:f>0</x:f>
        <x:v>0</x:v>
      </x:c>
      <x:c r="F16" s="13" t="n">
        <x:f>0</x:f>
        <x:v>0</x:v>
      </x:c>
      <x:c r="G16" s="9" t="str">
        <x:v>IG029, IG087, IG091</x:v>
      </x:c>
    </x:row>
    <x:row r="17" ht="48" customHeight="1">
      <x:c r="A17" s="9" t="str">
        <x:v>업무 고충·직업병·탈주</x:v>
      </x:c>
      <x:c r="B17" s="10" t="str">
        <x:v>일하면서 겪는 고충·직업병과 그만두고 싶었던 순간은 무엇인가요?</x:v>
      </x:c>
      <x:c r="C17" s="13" t="n">
        <x:f>COUNT('전체댓글'!L16,'전체댓글'!L69,'전체댓글'!L74)</x:f>
        <x:v>3</x:v>
      </x:c>
      <x:c r="D17" s="13" t="n">
        <x:f>COUNT('전체댓글'!L16)</x:f>
        <x:v>1</x:v>
      </x:c>
      <x:c r="E17" s="13" t="n">
        <x:f>COUNT('전체댓글'!L69)</x:f>
        <x:v>1</x:v>
      </x:c>
      <x:c r="F17" s="13" t="n">
        <x:f>COUNT('전체댓글'!L74)</x:f>
        <x:v>1</x:v>
      </x:c>
      <x:c r="G17" s="9" t="str">
        <x:v>IG023, YT011, X005</x:v>
      </x:c>
    </x:row>
    <x:row r="18" ht="48" customHeight="1">
      <x:c r="A18" s="9" t="str">
        <x:v>근무시간·수면·개발 우선순위</x:v>
      </x:c>
      <x:c r="B18" s="10" t="str">
        <x:v>게임 개발·영상 제작·수면 시간을 어떻게 나누고, 무엇을 우선하나요?</x:v>
      </x:c>
      <x:c r="C18" s="13" t="n">
        <x:f>COUNT('전체댓글'!L12,'전체댓글'!L30)</x:f>
        <x:v>2</x:v>
      </x:c>
      <x:c r="D18" s="13" t="n">
        <x:f>COUNT('전체댓글'!L12,'전체댓글'!L30)</x:f>
        <x:v>2</x:v>
      </x:c>
      <x:c r="E18" s="13" t="n">
        <x:f>0</x:f>
        <x:v>0</x:v>
      </x:c>
      <x:c r="F18" s="13" t="n">
        <x:f>0</x:f>
        <x:v>0</x:v>
      </x:c>
      <x:c r="G18" s="9" t="str">
        <x:v>IG012, IG051</x:v>
      </x:c>
    </x:row>
    <x:row r="19" ht="48" customHeight="1">
      <x:c r="A19" s="9" t="str">
        <x:v>개발 기술·엔진·구현</x:v>
      </x:c>
      <x:c r="B19" s="10" t="str">
        <x:v>사용하는 게임 엔진·언어·기술 스택과 주요 시스템 구현 방법은 무엇인가요?</x:v>
      </x:c>
      <x:c r="C19" s="13" t="n">
        <x:f>COUNT('전체댓글'!L11,'전체댓글'!L42)</x:f>
        <x:v>2</x:v>
      </x:c>
      <x:c r="D19" s="13" t="n">
        <x:f>COUNT('전체댓글'!L11,'전체댓글'!L42)</x:f>
        <x:v>2</x:v>
      </x:c>
      <x:c r="E19" s="13" t="n">
        <x:f>0</x:f>
        <x:v>0</x:v>
      </x:c>
      <x:c r="F19" s="13" t="n">
        <x:f>0</x:f>
        <x:v>0</x:v>
      </x:c>
      <x:c r="G19" s="9" t="str">
        <x:v>IG009, IG075</x:v>
      </x:c>
    </x:row>
    <x:row r="20" ht="48" customHeight="1">
      <x:c r="A20" s="9" t="str">
        <x:v>협업·의견 충돌 해결</x:v>
      </x:c>
      <x:c r="B20" s="10" t="str">
        <x:v>개발자와 아티스트의 의견이 다를 때 어떻게 이해하고 조율하나요?</x:v>
      </x:c>
      <x:c r="C20" s="13" t="n">
        <x:f>COUNT('전체댓글'!L14,'전체댓글'!L55)</x:f>
        <x:v>2</x:v>
      </x:c>
      <x:c r="D20" s="13" t="n">
        <x:f>COUNT('전체댓글'!L14,'전체댓글'!L55)</x:f>
        <x:v>2</x:v>
      </x:c>
      <x:c r="E20" s="13" t="n">
        <x:f>0</x:f>
        <x:v>0</x:v>
      </x:c>
      <x:c r="F20" s="13" t="n">
        <x:f>0</x:f>
        <x:v>0</x:v>
      </x:c>
      <x:c r="G20" s="9" t="str">
        <x:v>IG018, IG101</x:v>
      </x:c>
    </x:row>
    <x:row r="21" ht="48" customHeight="1">
      <x:c r="A21" s="9" t="str">
        <x:v>MBTI</x:v>
      </x:c>
      <x:c r="B21" s="10" t="str">
        <x:v>개발자와 아티스트의 MBTI는 무엇인가요?</x:v>
      </x:c>
      <x:c r="C21" s="13" t="n">
        <x:f>COUNT('전체댓글'!L10,'전체댓글'!L26)</x:f>
        <x:v>2</x:v>
      </x:c>
      <x:c r="D21" s="13" t="n">
        <x:f>COUNT('전체댓글'!L10,'전체댓글'!L26)</x:f>
        <x:v>2</x:v>
      </x:c>
      <x:c r="E21" s="13" t="n">
        <x:f>0</x:f>
        <x:v>0</x:v>
      </x:c>
      <x:c r="F21" s="13" t="n">
        <x:f>0</x:f>
        <x:v>0</x:v>
      </x:c>
      <x:c r="G21" s="9" t="str">
        <x:v>IG006, IG043</x:v>
      </x:c>
    </x:row>
    <x:row r="22" ht="48" customHeight="1">
      <x:c r="A22" s="9" t="str">
        <x:v>홍보·SNS 운영</x:v>
      </x:c>
      <x:c r="B22" s="10" t="str">
        <x:v>릴스 홍보를 시작한 계기와 인스타그램 답글 담당자는 누구인가요?</x:v>
      </x:c>
      <x:c r="C22" s="13" t="n">
        <x:f>COUNT('전체댓글'!L22,'전체댓글'!L37)</x:f>
        <x:v>2</x:v>
      </x:c>
      <x:c r="D22" s="13" t="n">
        <x:f>COUNT('전체댓글'!L22,'전체댓글'!L37)</x:f>
        <x:v>2</x:v>
      </x:c>
      <x:c r="E22" s="13" t="n">
        <x:f>0</x:f>
        <x:v>0</x:v>
      </x:c>
      <x:c r="F22" s="13" t="n">
        <x:f>0</x:f>
        <x:v>0</x:v>
      </x:c>
      <x:c r="G22" s="9" t="str">
        <x:v>IG035, IG065</x:v>
      </x:c>
    </x:row>
    <x:row r="23" ht="48" customHeight="1">
      <x:c r="A23" s="9" t="str">
        <x:v>개발 진행 상황·제작물 공개</x:v>
      </x:c>
      <x:c r="B23" s="10" t="str">
        <x:v>개발은 얼마나 진행되었고, 제작물·제작 과정을 공개할 계획이 있나요?</x:v>
      </x:c>
      <x:c r="C23" s="13" t="n">
        <x:f>COUNT('전체댓글'!L63,'전체댓글'!L65)</x:f>
        <x:v>2</x:v>
      </x:c>
      <x:c r="D23" s="13" t="n">
        <x:f>0</x:f>
        <x:v>0</x:v>
      </x:c>
      <x:c r="E23" s="13" t="n">
        <x:f>COUNT('전체댓글'!L63,'전체댓글'!L65)</x:f>
        <x:v>2</x:v>
      </x:c>
      <x:c r="F23" s="13" t="n">
        <x:f>0</x:f>
        <x:v>0</x:v>
      </x:c>
      <x:c r="G23" s="9" t="str">
        <x:v>YT005, YT007</x:v>
      </x:c>
    </x:row>
    <x:row r="24" ht="48" customHeight="1">
      <x:c r="A24" s="9" t="str">
        <x:v>게임 기획·개발 범위 조절</x:v>
      </x:c>
      <x:c r="B24" s="10" t="str">
        <x:v>개발 과정에서 제외한 기능·스토리·디테일과 아쉬웠던 점은 무엇인가요?</x:v>
      </x:c>
      <x:c r="C24" s="13" t="n">
        <x:f>COUNT('전체댓글'!L74,'전체댓글'!L75)</x:f>
        <x:v>2</x:v>
      </x:c>
      <x:c r="D24" s="13" t="n">
        <x:f>0</x:f>
        <x:v>0</x:v>
      </x:c>
      <x:c r="E24" s="13" t="n">
        <x:f>0</x:f>
        <x:v>0</x:v>
      </x:c>
      <x:c r="F24" s="13" t="n">
        <x:f>COUNT('전체댓글'!L74,'전체댓글'!L75)</x:f>
        <x:v>2</x:v>
      </x:c>
      <x:c r="G24" s="9" t="str">
        <x:v>X005, X006</x:v>
      </x:c>
    </x:row>
    <x:row r="25" ht="48" customHeight="1">
      <x:c r="A25" s="9" t="str">
        <x:v>게임 철학·좋은 게임의 기준</x:v>
      </x:c>
      <x:c r="B25" s="10" t="str">
        <x:v>좋은 게임의 기준을 어떻게 생각하나요?</x:v>
      </x:c>
      <x:c r="C25" s="13" t="n">
        <x:f>COUNT('전체댓글'!L41)</x:f>
        <x:v>1</x:v>
      </x:c>
      <x:c r="D25" s="13" t="n">
        <x:f>COUNT('전체댓글'!L41)</x:f>
        <x:v>1</x:v>
      </x:c>
      <x:c r="E25" s="13" t="n">
        <x:f>0</x:f>
        <x:v>0</x:v>
      </x:c>
      <x:c r="F25" s="13" t="n">
        <x:f>0</x:f>
        <x:v>0</x:v>
      </x:c>
      <x:c r="G25" s="9" t="str">
        <x:v>IG073</x:v>
      </x:c>
    </x:row>
    <x:row r="26" ht="48" customHeight="1">
      <x:c r="A26" s="9" t="str">
        <x:v>다른 게임 플레이·소감</x:v>
      </x:c>
      <x:c r="B26" s="10" t="str">
        <x:v>갈바테인을 플레이해 보셨나요? 소감은 어떤가요?</x:v>
      </x:c>
      <x:c r="C26" s="13" t="n">
        <x:f>COUNT('전체댓글'!L18)</x:f>
        <x:v>1</x:v>
      </x:c>
      <x:c r="D26" s="13" t="n">
        <x:f>COUNT('전체댓글'!L18)</x:f>
        <x:v>1</x:v>
      </x:c>
      <x:c r="E26" s="13" t="n">
        <x:f>0</x:f>
        <x:v>0</x:v>
      </x:c>
      <x:c r="F26" s="13" t="n">
        <x:f>0</x:f>
        <x:v>0</x:v>
      </x:c>
      <x:c r="G26" s="9" t="str">
        <x:v>IG027</x:v>
      </x:c>
    </x:row>
    <x:row r="27" ht="48" customHeight="1">
      <x:c r="A27" s="9" t="str">
        <x:v>좋아하는 애니메이션</x:v>
      </x:c>
      <x:c r="B27" s="10" t="str">
        <x:v>가장 좋아하는 애니메이션은 무엇인가요?</x:v>
      </x:c>
      <x:c r="C27" s="13" t="n">
        <x:f>COUNT('전체댓글'!L33)</x:f>
        <x:v>1</x:v>
      </x:c>
      <x:c r="D27" s="13" t="n">
        <x:f>COUNT('전체댓글'!L33)</x:f>
        <x:v>1</x:v>
      </x:c>
      <x:c r="E27" s="13" t="n">
        <x:f>0</x:f>
        <x:v>0</x:v>
      </x:c>
      <x:c r="F27" s="13" t="n">
        <x:f>0</x:f>
        <x:v>0</x:v>
      </x:c>
      <x:c r="G27" s="9" t="str">
        <x:v>IG057</x:v>
      </x:c>
    </x:row>
    <x:row r="28" ht="48" customHeight="1">
      <x:c r="A28" s="9" t="str">
        <x:v>게임 캐릭터 더빙</x:v>
      </x:c>
      <x:c r="B28" s="10" t="str">
        <x:v>게임 캐릭터 더빙도 직접 하시나요?</x:v>
      </x:c>
      <x:c r="C28" s="13" t="n">
        <x:f>COUNT('전체댓글'!L13)</x:f>
        <x:v>1</x:v>
      </x:c>
      <x:c r="D28" s="13" t="n">
        <x:f>COUNT('전체댓글'!L13)</x:f>
        <x:v>1</x:v>
      </x:c>
      <x:c r="E28" s="13" t="n">
        <x:f>0</x:f>
        <x:v>0</x:v>
      </x:c>
      <x:c r="F28" s="13" t="n">
        <x:f>0</x:f>
        <x:v>0</x:v>
      </x:c>
      <x:c r="G28" s="9" t="str">
        <x:v>IG015</x:v>
      </x:c>
    </x:row>
    <x:row r="29" ht="48" customHeight="1">
      <x:c r="A29" s="9" t="str">
        <x:v>개발 장소</x:v>
      </x:c>
      <x:c r="B29" s="10" t="str">
        <x:v>게임 개발은 어디에서 하나요?</x:v>
      </x:c>
      <x:c r="C29" s="13" t="n">
        <x:f>COUNT('전체댓글'!L35)</x:f>
        <x:v>1</x:v>
      </x:c>
      <x:c r="D29" s="13" t="n">
        <x:f>COUNT('전체댓글'!L35)</x:f>
        <x:v>1</x:v>
      </x:c>
      <x:c r="E29" s="13" t="n">
        <x:f>0</x:f>
        <x:v>0</x:v>
      </x:c>
      <x:c r="F29" s="13" t="n">
        <x:f>0</x:f>
        <x:v>0</x:v>
      </x:c>
      <x:c r="G29" s="9" t="str">
        <x:v>IG061</x:v>
      </x:c>
    </x:row>
    <x:row r="30" ht="48" customHeight="1">
      <x:c r="A30" s="9" t="str">
        <x:v>디스코드 사용</x:v>
      </x:c>
      <x:c r="B30" s="10" t="str">
        <x:v>평소 디스코드를 얼마나 사용하나요?</x:v>
      </x:c>
      <x:c r="C30" s="13" t="n">
        <x:f>COUNT('전체댓글'!L24)</x:f>
        <x:v>1</x:v>
      </x:c>
      <x:c r="D30" s="13" t="n">
        <x:f>COUNT('전체댓글'!L24)</x:f>
        <x:v>1</x:v>
      </x:c>
      <x:c r="E30" s="13" t="n">
        <x:f>0</x:f>
        <x:v>0</x:v>
      </x:c>
      <x:c r="F30" s="13" t="n">
        <x:f>0</x:f>
        <x:v>0</x:v>
      </x:c>
      <x:c r="G30" s="9" t="str">
        <x:v>IG039</x:v>
      </x:c>
    </x:row>
    <x:row r="31" ht="48" customHeight="1">
      <x:c r="A31" s="9" t="str">
        <x:v>이스터에그</x:v>
      </x:c>
      <x:c r="B31" s="10" t="str">
        <x:v>게임에 이스터에그가 숨겨져 있나요?</x:v>
      </x:c>
      <x:c r="C31" s="13" t="n">
        <x:f>COUNT('전체댓글'!L39)</x:f>
        <x:v>1</x:v>
      </x:c>
      <x:c r="D31" s="13" t="n">
        <x:f>COUNT('전체댓글'!L39)</x:f>
        <x:v>1</x:v>
      </x:c>
      <x:c r="E31" s="13" t="n">
        <x:f>0</x:f>
        <x:v>0</x:v>
      </x:c>
      <x:c r="F31" s="13" t="n">
        <x:f>0</x:f>
        <x:v>0</x:v>
      </x:c>
      <x:c r="G31" s="9" t="str">
        <x:v>IG069</x:v>
      </x:c>
    </x:row>
    <x:row r="32" ht="48" customHeight="1">
      <x:c r="A32" s="9" t="str">
        <x:v>Q&amp;A 답변 제작 안내</x:v>
      </x:c>
      <x:c r="B32" s="10" t="str">
        <x:v>Q&amp;A 답변 영상 제작에 대한 게시자 안내</x:v>
      </x:c>
      <x:c r="C32" s="13" t="n">
        <x:f>COUNT('전체댓글'!L8)</x:f>
        <x:v>1</x:v>
      </x:c>
      <x:c r="D32" s="13" t="n">
        <x:f>COUNT('전체댓글'!L8)</x:f>
        <x:v>1</x:v>
      </x:c>
      <x:c r="E32" s="13" t="n">
        <x:f>0</x:f>
        <x:v>0</x:v>
      </x:c>
      <x:c r="F32" s="13" t="n">
        <x:f>0</x:f>
        <x:v>0</x:v>
      </x:c>
      <x:c r="G32" s="9" t="str">
        <x:v>IG001</x:v>
      </x:c>
    </x:row>
    <x:row r="33" ht="48" customHeight="1">
      <x:c r="A33" s="9" t="str">
        <x:v>출시 플랫폼</x:v>
      </x:c>
      <x:c r="B33" s="10" t="str">
        <x:v>게임을 어떤 플랫폼으로 출시할 예정인가요?</x:v>
      </x:c>
      <x:c r="C33" s="13" t="n">
        <x:f>COUNT('전체댓글'!L63)</x:f>
        <x:v>1</x:v>
      </x:c>
      <x:c r="D33" s="13" t="n">
        <x:f>0</x:f>
        <x:v>0</x:v>
      </x:c>
      <x:c r="E33" s="13" t="n">
        <x:f>COUNT('전체댓글'!L63)</x:f>
        <x:v>1</x:v>
      </x:c>
      <x:c r="F33" s="13" t="n">
        <x:f>0</x:f>
        <x:v>0</x:v>
      </x:c>
      <x:c r="G33" s="9" t="str">
        <x:v>YT005</x:v>
      </x:c>
    </x:row>
    <x:row r="34" ht="48" customHeight="1">
      <x:c r="A34" s="9" t="str">
        <x:v>AI 도구·요금제·작업 방식</x:v>
      </x:c>
      <x:c r="B34" s="10" t="str">
        <x:v>어떤 AI와 요금제를 사용하고, 어떤 작업·워크플로우에 활용하나요?</x:v>
      </x:c>
      <x:c r="C34" s="13" t="n">
        <x:f>COUNT('전체댓글'!L67)</x:f>
        <x:v>1</x:v>
      </x:c>
      <x:c r="D34" s="13" t="n">
        <x:f>0</x:f>
        <x:v>0</x:v>
      </x:c>
      <x:c r="E34" s="13" t="n">
        <x:f>COUNT('전체댓글'!L67)</x:f>
        <x:v>1</x:v>
      </x:c>
      <x:c r="F34" s="13" t="n">
        <x:f>0</x:f>
        <x:v>0</x:v>
      </x:c>
      <x:c r="G34" s="9" t="str">
        <x:v>YT009</x:v>
      </x:c>
    </x:row>
    <x:row r="35" ht="48" customHeight="1">
      <x:c r="A35" s="9" t="str">
        <x:v>공모전 참여</x:v>
      </x:c>
      <x:c r="B35" s="10" t="str">
        <x:v>공모전에 참여할 의향이 있나요?</x:v>
      </x:c>
      <x:c r="C35" s="13" t="n">
        <x:f>COUNT('전체댓글'!L67)</x:f>
        <x:v>1</x:v>
      </x:c>
      <x:c r="D35" s="13" t="n">
        <x:f>0</x:f>
        <x:v>0</x:v>
      </x:c>
      <x:c r="E35" s="13" t="n">
        <x:f>COUNT('전체댓글'!L67)</x:f>
        <x:v>1</x:v>
      </x:c>
      <x:c r="F35" s="13" t="n">
        <x:f>0</x:f>
        <x:v>0</x:v>
      </x:c>
      <x:c r="G35" s="9" t="str">
        <x:v>YT009</x:v>
      </x:c>
    </x:row>
    <x:row r="36" ht="48" customHeight="1">
      <x:c r="A36" s="9" t="str">
        <x:v>BGM 선정·음악 방향</x:v>
      </x:c>
      <x:c r="B36" s="10" t="str">
        <x:v>게임의 BGM을 어떤 기준으로 선정하고, 음악 방향을 결정하나요?</x:v>
      </x:c>
      <x:c r="C36" s="13" t="n">
        <x:f>COUNT('전체댓글'!L71)</x:f>
        <x:v>1</x:v>
      </x:c>
      <x:c r="D36" s="13" t="n">
        <x:f>0</x:f>
        <x:v>0</x:v>
      </x:c>
      <x:c r="E36" s="13" t="n">
        <x:f>0</x:f>
        <x:v>0</x:v>
      </x:c>
      <x:c r="F36" s="13" t="n">
        <x:f>COUNT('전체댓글'!L71)</x:f>
        <x:v>1</x:v>
      </x:c>
      <x:c r="G36" s="9" t="str">
        <x:v>X002</x:v>
      </x:c>
    </x:row>
    <x:row r="37">
      <x:c r="A37" s="2"/>
      <x:c r="B37" s="2"/>
      <x:c r="C37" s="14"/>
      <x:c r="D37" s="14"/>
      <x:c r="E37" s="14"/>
      <x:c r="F37" s="14"/>
      <x:c r="G37" s="2"/>
    </x:row>
    <x:row r="38">
      <x:c r="A38" s="17" t="str">
        <x:v>전체 댓글 수 (중복 제외)</x:v>
      </x:c>
      <x:c r="B38" s="17"/>
      <x:c r="C38" s="18" t="n">
        <x:f>COUNTA('전체댓글'!A8:A75)</x:f>
        <x:v>68</x:v>
      </x:c>
      <x:c r="D38" s="18" t="n">
        <x:f>COUNTIFS('전체댓글'!B8:B75,"인스타그램")</x:f>
        <x:v>51</x:v>
      </x:c>
      <x:c r="E38" s="18" t="n">
        <x:f>COUNTIFS('전체댓글'!B8:B75,"유튜브")</x:f>
        <x:v>11</x:v>
      </x:c>
      <x:c r="F38" s="18" t="n">
        <x:f>COUNTIFS('전체댓글'!B8:B75,"X")</x:f>
        <x:v>6</x:v>
      </x:c>
      <x:c r="G38" s="17"/>
    </x:row>
    <x:row r="39">
      <x:c r="A39" s="2"/>
      <x:c r="B39" s="2"/>
      <x:c r="C39" s="2"/>
      <x:c r="D39" s="2"/>
      <x:c r="E39" s="2"/>
      <x:c r="F39" s="2"/>
      <x:c r="G39" s="2"/>
    </x:row>
    <x:row r="40">
      <x:c r="A40" s="2" t="str">
        <x:v>게시물에 직접 달린 댓글만 포함합니다. X의 MadeInCosmo 작성 댓글과 대댓글은 제외했습니다.</x:v>
      </x:c>
      <x:c r="B40" s="2"/>
      <x:c r="C40" s="2"/>
      <x:c r="D40" s="2"/>
      <x:c r="E40" s="2"/>
      <x:c r="F40" s="2"/>
      <x:c r="G40" s="2"/>
    </x:row>
  </x:sheetData>
  <x:pageMargins left="0.7" right="0.7" top="0.75" bottom="0.75" header="0.3" footer="0.3"/>
  <x:tableParts count="1">
    <x:tablePart xmlns:r="http://schemas.openxmlformats.org/officeDocument/2006/relationships" r:id="Rc333cc854e10483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40" hidden="0" customWidth="1"/>
    <x:col min="4" max="4" width="16" hidden="0" customWidth="1"/>
    <x:col min="5" max="5" width="34" hidden="0" customWidth="1"/>
    <x:col min="6" max="6" width="64" hidden="0" customWidth="1"/>
    <x:col min="7" max="7" width="96" hidden="0" customWidth="1"/>
    <x:col min="8" max="8" width="16" hidden="0" customWidth="1"/>
    <x:col min="9" max="9" width="28" hidden="0" customWidth="1"/>
    <x:col min="10" max="10" width="15" hidden="0" customWidth="1"/>
    <x:col min="11" max="11" width="16" hidden="0" customWidth="1"/>
    <x:col min="12" max="12" width="12" hidden="0" customWidth="1"/>
    <x:col min="13" max="13" width="30" hidden="0" customWidth="1"/>
  </x:cols>
  <x:sheetData>
    <x:row r="2">
      <x:c r="A2" s="3" t="str">
        <x:v>인스타그램·유튜브·X 직접 댓글 원문과 캡처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4" t="str">
        <x:v>인스타그램 출처: https://www.instagram.com/p/Ddm14-HgGpL/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4" t="str">
        <x:v>유튜브 출처: https://www.youtube.com/post/UgkxaK_KVWEFqHAoOod4zs21zhC7nG8CFhne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4" t="str">
        <x:v>X 출처: https://x.com/MadeInCosmo/status/2102538440730452409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A6" s="4" t="str">
        <x:v>인스타그램·유튜브: 2026-10-08 수집 / X: 2026-10-11 수집 · 유튜브 정확한 게시 시각은 화면에 없어 공란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32" customHeight="1">
      <x:c r="A7" s="8" t="str">
        <x:v>통합 ID</x:v>
      </x:c>
      <x:c r="B7" s="8" t="str">
        <x:v>플랫폼</x:v>
      </x:c>
      <x:c r="C7" s="8" t="str">
        <x:v>작성자</x:v>
      </x:c>
      <x:c r="D7" s="8" t="str">
        <x:v>내용 유형</x:v>
      </x:c>
      <x:c r="E7" s="8" t="str">
        <x:v>대표 주제</x:v>
      </x:c>
      <x:c r="F7" s="8" t="str">
        <x:v>전체 주제</x:v>
      </x:c>
      <x:c r="G7" s="8" t="str">
        <x:v>댓글 원문</x:v>
      </x:c>
      <x:c r="H7" s="8" t="str">
        <x:v>표시 시점</x:v>
      </x:c>
      <x:c r="I7" s="8" t="str">
        <x:v>게시 시각(원본)</x:v>
      </x:c>
      <x:c r="J7" s="8" t="str">
        <x:v>캡처 이미지</x:v>
      </x:c>
      <x:c r="K7" s="8" t="str">
        <x:v>댓글 원문 링크</x:v>
      </x:c>
      <x:c r="L7" s="8" t="str">
        <x:v>원본 번호</x:v>
      </x:c>
      <x:c r="M7" s="8" t="str">
        <x:v>댓글 ID</x:v>
      </x:c>
    </x:row>
    <x:row r="8" ht="48" customHeight="1">
      <x:c r="A8" s="9" t="str">
        <x:v>IG001</x:v>
      </x:c>
      <x:c r="B8" s="19" t="str">
        <x:v>인스타그램</x:v>
      </x:c>
      <x:c r="C8" s="9" t="str">
        <x:v>made_in_cosmo_</x:v>
      </x:c>
      <x:c r="D8" s="9" t="str">
        <x:v>안내</x:v>
      </x:c>
      <x:c r="E8" s="9" t="str">
        <x:v>Q&amp;A 답변 제작 안내</x:v>
      </x:c>
      <x:c r="F8" s="10" t="str">
        <x:v>Q&amp;A 답변 제작 안내</x:v>
      </x:c>
      <x:c r="G8" s="10" t="str">
        <x:v>올려주신 질문 하나하나 잘 읽어봤습니다. 저희 팀과 게임에 관심 가져주시는 모든 분들 감사드립니다! 최대한 다양하게 답변할 수 있게 약 2~3주간 걸쳐 답변 영상을 제작하려합니다. 기대해주세요!</x:v>
      </x:c>
      <x:c r="H8" s="9" t="str">
        <x:v>1주</x:v>
      </x:c>
      <x:c r="I8" s="9" t="d">
        <x:v>2026-09-25T19:39:05.000Z</x:v>
      </x:c>
      <x:c r="J8" s="9" t="e">
        <x:f>HYPERLINK("captures/instagram/001_made_in_cosmo_.jpg","이미지 열기")</x:f>
        <x:v>HYPERLINK is not implemented. linkLocation=captures/instagram/001_made_in_cosmo_.jpg, friendlyName=이미지 열기</x:v>
      </x:c>
      <x:c r="K8" s="9" t="e">
        <x:f>HYPERLINK("https://www.instagram.com/p/Ddm14-HgGpL/c/17948633769054911/","원문 열기")</x:f>
        <x:v>HYPERLINK is not implemented. linkLocation=https://www.instagram.com/p/Ddm14-HgGpL/c/17948633769054911/, friendlyName=원문 열기</x:v>
      </x:c>
      <x:c r="L8" s="9" t="n">
        <x:v>1</x:v>
      </x:c>
      <x:c r="M8" s="9" t="str">
        <x:v>17948633769054911</x:v>
      </x:c>
    </x:row>
    <x:row r="9" ht="48" customHeight="1">
      <x:c r="A9" s="9" t="str">
        <x:v>IG003</x:v>
      </x:c>
      <x:c r="B9" s="19" t="str">
        <x:v>인스타그램</x:v>
      </x:c>
      <x:c r="C9" s="9" t="str">
        <x:v>ice_coldbell</x:v>
      </x:c>
      <x:c r="D9" s="9" t="str">
        <x:v>반응·응원</x:v>
      </x:c>
      <x:c r="E9" s="9" t="str">
        <x:v>일상·운동·장난 질문</x:v>
      </x:c>
      <x:c r="F9" s="10" t="str">
        <x:v>일상·운동·장난 질문</x:v>
      </x:c>
      <x:c r="G9" s="10" t="str">
        <x:v>마왕을 처치해라 닝겐</x:v>
      </x:c>
      <x:c r="H9" s="9" t="str">
        <x:v>2주</x:v>
      </x:c>
      <x:c r="I9" s="9" t="d">
        <x:v>2026-09-24T04:02:47.000Z</x:v>
      </x:c>
      <x:c r="J9" s="9" t="e">
        <x:f>HYPERLINK("captures/instagram/003_ice_coldbell.jpg","이미지 열기")</x:f>
        <x:v>HYPERLINK is not implemented. linkLocation=captures/instagram/003_ice_coldbell.jpg, friendlyName=이미지 열기</x:v>
      </x:c>
      <x:c r="K9" s="9" t="e">
        <x:f>HYPERLINK("https://www.instagram.com/p/Ddm14-HgGpL/c/18096243992095816/","원문 열기")</x:f>
        <x:v>HYPERLINK is not implemented. linkLocation=https://www.instagram.com/p/Ddm14-HgGpL/c/18096243992095816/, friendlyName=원문 열기</x:v>
      </x:c>
      <x:c r="L9" s="9" t="n">
        <x:v>3</x:v>
      </x:c>
      <x:c r="M9" s="9" t="str">
        <x:v>18096243992095816</x:v>
      </x:c>
    </x:row>
    <x:row r="10" ht="48" customHeight="1">
      <x:c r="A10" s="9" t="str">
        <x:v>IG006</x:v>
      </x:c>
      <x:c r="B10" s="19" t="str">
        <x:v>인스타그램</x:v>
      </x:c>
      <x:c r="C10" s="9" t="str">
        <x:v>juhee_byaan</x:v>
      </x:c>
      <x:c r="D10" s="9" t="str">
        <x:v>질문</x:v>
      </x:c>
      <x:c r="E10" s="9" t="str">
        <x:v>MBTI</x:v>
      </x:c>
      <x:c r="F10" s="10" t="str">
        <x:v>MBTI</x:v>
      </x:c>
      <x:c r="G10" s="10" t="str">
        <x:v>개발자님 아티스트님 mbti알랴주세요</x:v>
      </x:c>
      <x:c r="H10" s="9" t="str">
        <x:v>2주</x:v>
      </x:c>
      <x:c r="I10" s="9" t="d">
        <x:v>2026-09-23T21:54:36.000Z</x:v>
      </x:c>
      <x:c r="J10" s="9" t="e">
        <x:f>HYPERLINK("captures/instagram/006_juhee_byaan.jpg","이미지 열기")</x:f>
        <x:v>HYPERLINK is not implemented. linkLocation=captures/instagram/006_juhee_byaan.jpg, friendlyName=이미지 열기</x:v>
      </x:c>
      <x:c r="K10" s="9" t="e">
        <x:f>HYPERLINK("https://www.instagram.com/p/Ddm14-HgGpL/c/17933280186404601/","원문 열기")</x:f>
        <x:v>HYPERLINK is not implemented. linkLocation=https://www.instagram.com/p/Ddm14-HgGpL/c/17933280186404601/, friendlyName=원문 열기</x:v>
      </x:c>
      <x:c r="L10" s="9" t="n">
        <x:v>6</x:v>
      </x:c>
      <x:c r="M10" s="9" t="str">
        <x:v>17933280186404601</x:v>
      </x:c>
    </x:row>
    <x:row r="11" ht="48" customHeight="1">
      <x:c r="A11" s="9" t="str">
        <x:v>IG009</x:v>
      </x:c>
      <x:c r="B11" s="19" t="str">
        <x:v>인스타그램</x:v>
      </x:c>
      <x:c r="C11" s="9" t="str">
        <x:v>_.102_7</x:v>
      </x:c>
      <x:c r="D11" s="9" t="str">
        <x:v>질문</x:v>
      </x:c>
      <x:c r="E11" s="9" t="str">
        <x:v>개발 기술·엔진·구현</x:v>
      </x:c>
      <x:c r="F11" s="10" t="str">
        <x:v>개발 기술·엔진·구현</x:v>
      </x:c>
      <x:c r="G11" s="10" t="str">
        <x:v>무슨 엔진에 무슨 언어 써요??</x:v>
      </x:c>
      <x:c r="H11" s="9" t="str">
        <x:v>2주</x:v>
      </x:c>
      <x:c r="I11" s="9" t="d">
        <x:v>2026-09-24T17:35:58.000Z</x:v>
      </x:c>
      <x:c r="J11" s="9" t="e">
        <x:f>HYPERLINK("captures/instagram/009__.102_7.jpg","이미지 열기")</x:f>
        <x:v>HYPERLINK is not implemented. linkLocation=captures/instagram/009__.102_7.jpg, friendlyName=이미지 열기</x:v>
      </x:c>
      <x:c r="K11" s="9" t="e">
        <x:f>HYPERLINK("https://www.instagram.com/p/Ddm14-HgGpL/c/18218039965349919/","원문 열기")</x:f>
        <x:v>HYPERLINK is not implemented. linkLocation=https://www.instagram.com/p/Ddm14-HgGpL/c/18218039965349919/, friendlyName=원문 열기</x:v>
      </x:c>
      <x:c r="L11" s="9" t="n">
        <x:v>9</x:v>
      </x:c>
      <x:c r="M11" s="9" t="str">
        <x:v>18218039965349919</x:v>
      </x:c>
    </x:row>
    <x:row r="12" ht="48" customHeight="1">
      <x:c r="A12" s="9" t="str">
        <x:v>IG012</x:v>
      </x:c>
      <x:c r="B12" s="19" t="str">
        <x:v>인스타그램</x:v>
      </x:c>
      <x:c r="C12" s="9" t="str">
        <x:v>muliya10000</x:v>
      </x:c>
      <x:c r="D12" s="9" t="str">
        <x:v>질문</x:v>
      </x:c>
      <x:c r="E12" s="9" t="str">
        <x:v>캐릭터 설정·외형 모티브</x:v>
      </x:c>
      <x:c r="F12" s="10" t="str">
        <x:v>캐릭터 설정·외형 모티브 / 근무시간·수면·개발 우선순위</x:v>
      </x:c>
      <x:c r="G12" s="10" t="str">
        <x:v>개발자님은 왜 항상 뿔이났죠? 아티스트님은 실제로 버섯 헤어스타일을 하시나요? 영상 자주 올리시는데, 게임은 언제 개발하세요? (두분 수면시간, 게임 개발시간, 영상 제작 시간이 궁금해요.)</x:v>
      </x:c>
      <x:c r="H12" s="9" t="str">
        <x:v>2주</x:v>
      </x:c>
      <x:c r="I12" s="9" t="d">
        <x:v>2026-09-23T01:59:58.000Z</x:v>
      </x:c>
      <x:c r="J12" s="9" t="e">
        <x:f>HYPERLINK("captures/instagram/012_muliya10000.jpg","이미지 열기")</x:f>
        <x:v>HYPERLINK is not implemented. linkLocation=captures/instagram/012_muliya10000.jpg, friendlyName=이미지 열기</x:v>
      </x:c>
      <x:c r="K12" s="9" t="e">
        <x:f>HYPERLINK("https://www.instagram.com/p/Ddm14-HgGpL/c/18072680609478618/","원문 열기")</x:f>
        <x:v>HYPERLINK is not implemented. linkLocation=https://www.instagram.com/p/Ddm14-HgGpL/c/18072680609478618/, friendlyName=원문 열기</x:v>
      </x:c>
      <x:c r="L12" s="9" t="n">
        <x:v>12</x:v>
      </x:c>
      <x:c r="M12" s="9" t="str">
        <x:v>18072680609478618</x:v>
      </x:c>
    </x:row>
    <x:row r="13" ht="48" customHeight="1">
      <x:c r="A13" s="9" t="str">
        <x:v>IG015</x:v>
      </x:c>
      <x:c r="B13" s="19" t="str">
        <x:v>인스타그램</x:v>
      </x:c>
      <x:c r="C13" s="9" t="str">
        <x:v>noyb._.777</x:v>
      </x:c>
      <x:c r="D13" s="9" t="str">
        <x:v>질문</x:v>
      </x:c>
      <x:c r="E13" s="9" t="str">
        <x:v>게임 캐릭터 더빙</x:v>
      </x:c>
      <x:c r="F13" s="10" t="str">
        <x:v>게임 캐릭터 더빙</x:v>
      </x:c>
      <x:c r="G13" s="10" t="str">
        <x:v>뮥소리 너무 좋으신데 게임 캐릭터 더빙도 직접 하시나요?</x:v>
      </x:c>
      <x:c r="H13" s="9" t="str">
        <x:v>2주</x:v>
      </x:c>
      <x:c r="I13" s="9" t="d">
        <x:v>2026-09-23T00:24:50.000Z</x:v>
      </x:c>
      <x:c r="J13" s="9" t="e">
        <x:f>HYPERLINK("captures/instagram/015_noyb._.777.jpg","이미지 열기")</x:f>
        <x:v>HYPERLINK is not implemented. linkLocation=captures/instagram/015_noyb._.777.jpg, friendlyName=이미지 열기</x:v>
      </x:c>
      <x:c r="K13" s="9" t="e">
        <x:f>HYPERLINK("https://www.instagram.com/p/Ddm14-HgGpL/c/17966566803190871/","원문 열기")</x:f>
        <x:v>HYPERLINK is not implemented. linkLocation=https://www.instagram.com/p/Ddm14-HgGpL/c/17966566803190871/, friendlyName=원문 열기</x:v>
      </x:c>
      <x:c r="L13" s="9" t="n">
        <x:v>15</x:v>
      </x:c>
      <x:c r="M13" s="9" t="str">
        <x:v>17966566803190871</x:v>
      </x:c>
    </x:row>
    <x:row r="14" ht="48" customHeight="1">
      <x:c r="A14" s="9" t="str">
        <x:v>IG018</x:v>
      </x:c>
      <x:c r="B14" s="19" t="str">
        <x:v>인스타그램</x:v>
      </x:c>
      <x:c r="C14" s="9" t="str">
        <x:v>hu1_jae0_</x:v>
      </x:c>
      <x:c r="D14" s="9" t="str">
        <x:v>질문</x:v>
      </x:c>
      <x:c r="E14" s="9" t="str">
        <x:v>협업·의견 충돌 해결</x:v>
      </x:c>
      <x:c r="F14" s="10" t="str">
        <x:v>협업·의견 충돌 해결</x:v>
      </x:c>
      <x:c r="G14" s="10" t="str">
        <x:v>2인 개발 팀을 꿈꾸는 고딩입니다만, 시작도 전에 의견이 너무 갈립니다. 이럴 때 두분 만의 해결법이나 대책이 있으신가요?</x:v>
      </x:c>
      <x:c r="H14" s="9" t="str">
        <x:v>2주</x:v>
      </x:c>
      <x:c r="I14" s="9" t="d">
        <x:v>2026-09-23T08:37:11.000Z</x:v>
      </x:c>
      <x:c r="J14" s="9" t="e">
        <x:f>HYPERLINK("captures/instagram/018_hu1_jae0_.jpg","이미지 열기")</x:f>
        <x:v>HYPERLINK is not implemented. linkLocation=captures/instagram/018_hu1_jae0_.jpg, friendlyName=이미지 열기</x:v>
      </x:c>
      <x:c r="K14" s="9" t="e">
        <x:f>HYPERLINK("https://www.instagram.com/p/Ddm14-HgGpL/c/18633072511011418/","원문 열기")</x:f>
        <x:v>HYPERLINK is not implemented. linkLocation=https://www.instagram.com/p/Ddm14-HgGpL/c/18633072511011418/, friendlyName=원문 열기</x:v>
      </x:c>
      <x:c r="L14" s="9" t="n">
        <x:v>18</x:v>
      </x:c>
      <x:c r="M14" s="9" t="str">
        <x:v>18633072511011418</x:v>
      </x:c>
    </x:row>
    <x:row r="15" ht="48" customHeight="1">
      <x:c r="A15" s="9" t="str">
        <x:v>IG021</x:v>
      </x:c>
      <x:c r="B15" s="19" t="str">
        <x:v>인스타그램</x:v>
      </x:c>
      <x:c r="C15" s="9" t="str">
        <x:v>sh.o5716</x:v>
      </x:c>
      <x:c r="D15" s="9" t="str">
        <x:v>질문</x:v>
      </x:c>
      <x:c r="E15" s="9" t="str">
        <x:v>좋아하는 게임·주력 장르</x:v>
      </x:c>
      <x:c r="F15" s="10" t="str">
        <x:v>좋아하는 게임·주력 장르</x:v>
      </x:c>
      <x:c r="G15" s="10" t="str">
        <x:v>두 분이 가장 재밌게 플레이 한 게임이 궁금해요</x:v>
      </x:c>
      <x:c r="H15" s="9" t="str">
        <x:v>2주</x:v>
      </x:c>
      <x:c r="I15" s="9" t="d">
        <x:v>2026-09-24T07:49:19.000Z</x:v>
      </x:c>
      <x:c r="J15" s="9" t="e">
        <x:f>HYPERLINK("captures/instagram/021_sh.o5716.jpg","이미지 열기")</x:f>
        <x:v>HYPERLINK is not implemented. linkLocation=captures/instagram/021_sh.o5716.jpg, friendlyName=이미지 열기</x:v>
      </x:c>
      <x:c r="K15" s="9" t="e">
        <x:f>HYPERLINK("https://www.instagram.com/p/Ddm14-HgGpL/c/18074305736442609/","원문 열기")</x:f>
        <x:v>HYPERLINK is not implemented. linkLocation=https://www.instagram.com/p/Ddm14-HgGpL/c/18074305736442609/, friendlyName=원문 열기</x:v>
      </x:c>
      <x:c r="L15" s="9" t="n">
        <x:v>21</x:v>
      </x:c>
      <x:c r="M15" s="9" t="str">
        <x:v>18074305736442609</x:v>
      </x:c>
    </x:row>
    <x:row r="16" ht="48" customHeight="1">
      <x:c r="A16" s="9" t="str">
        <x:v>IG023</x:v>
      </x:c>
      <x:c r="B16" s="19" t="str">
        <x:v>인스타그램</x:v>
      </x:c>
      <x:c r="C16" s="9" t="str">
        <x:v>foluna0127</x:v>
      </x:c>
      <x:c r="D16" s="9" t="str">
        <x:v>질문</x:v>
      </x:c>
      <x:c r="E16" s="9" t="str">
        <x:v>업무 고충·직업병·탈주</x:v>
      </x:c>
      <x:c r="F16" s="10" t="str">
        <x:v>업무 고충·직업병·탈주</x:v>
      </x:c>
      <x:c r="G16" s="10" t="str">
        <x:v>일하다가 탈주하고싶었을때가 언제인가요?</x:v>
      </x:c>
      <x:c r="H16" s="9" t="str">
        <x:v>1주</x:v>
      </x:c>
      <x:c r="I16" s="9" t="d">
        <x:v>2026-09-25T20:39:32.000Z</x:v>
      </x:c>
      <x:c r="J16" s="9" t="e">
        <x:f>HYPERLINK("captures/instagram/023_foluna0127.jpg","이미지 열기")</x:f>
        <x:v>HYPERLINK is not implemented. linkLocation=captures/instagram/023_foluna0127.jpg, friendlyName=이미지 열기</x:v>
      </x:c>
      <x:c r="K16" s="9" t="e">
        <x:f>HYPERLINK("https://www.instagram.com/p/Ddm14-HgGpL/c/18196430557385638/","원문 열기")</x:f>
        <x:v>HYPERLINK is not implemented. linkLocation=https://www.instagram.com/p/Ddm14-HgGpL/c/18196430557385638/, friendlyName=원문 열기</x:v>
      </x:c>
      <x:c r="L16" s="9" t="n">
        <x:v>23</x:v>
      </x:c>
      <x:c r="M16" s="9" t="str">
        <x:v>18196430557385638</x:v>
      </x:c>
    </x:row>
    <x:row r="17" ht="48" customHeight="1">
      <x:c r="A17" s="9" t="str">
        <x:v>IG025</x:v>
      </x:c>
      <x:c r="B17" s="19" t="str">
        <x:v>인스타그램</x:v>
      </x:c>
      <x:c r="C17" s="9" t="str">
        <x:v>bluerakun</x:v>
      </x:c>
      <x:c r="D17" s="9" t="str">
        <x:v>질문</x:v>
      </x:c>
      <x:c r="E17" s="9" t="str">
        <x:v>팀 결성·개발 시작 계기</x:v>
      </x:c>
      <x:c r="F17" s="10" t="str">
        <x:v>팀 결성·개발 시작 계기 / 게임 소개·장르·기획 방향</x:v>
      </x:c>
      <x:c r="G17" s="10" t="str">
        <x:v>두분이 게임 개발을 시작한 계기와 개발중인 게임의 장르선택과 방향성을 정하게된 이유가 궁금합니다!</x:v>
      </x:c>
      <x:c r="H17" s="9" t="str">
        <x:v>1주</x:v>
      </x:c>
      <x:c r="I17" s="9" t="d">
        <x:v>2026-09-26T04:01:50.000Z</x:v>
      </x:c>
      <x:c r="J17" s="9" t="e">
        <x:f>HYPERLINK("captures/instagram/025_bluerakun.jpg","이미지 열기")</x:f>
        <x:v>HYPERLINK is not implemented. linkLocation=captures/instagram/025_bluerakun.jpg, friendlyName=이미지 열기</x:v>
      </x:c>
      <x:c r="K17" s="9" t="e">
        <x:f>HYPERLINK("https://www.instagram.com/p/Ddm14-HgGpL/c/18058953539543430/","원문 열기")</x:f>
        <x:v>HYPERLINK is not implemented. linkLocation=https://www.instagram.com/p/Ddm14-HgGpL/c/18058953539543430/, friendlyName=원문 열기</x:v>
      </x:c>
      <x:c r="L17" s="9" t="n">
        <x:v>25</x:v>
      </x:c>
      <x:c r="M17" s="9" t="str">
        <x:v>18058953539543430</x:v>
      </x:c>
    </x:row>
    <x:row r="18" ht="48" customHeight="1">
      <x:c r="A18" s="9" t="str">
        <x:v>IG027</x:v>
      </x:c>
      <x:c r="B18" s="19" t="str">
        <x:v>인스타그램</x:v>
      </x:c>
      <x:c r="C18" s="9" t="str">
        <x:v>_mak_______</x:v>
      </x:c>
      <x:c r="D18" s="9" t="str">
        <x:v>질문</x:v>
      </x:c>
      <x:c r="E18" s="9" t="str">
        <x:v>다른 게임 플레이·소감</x:v>
      </x:c>
      <x:c r="F18" s="10" t="str">
        <x:v>다른 게임 플레이·소감</x:v>
      </x:c>
      <x:c r="G18" s="10" t="str">
        <x:v>소개해주셨던 게임의 소재와 비슷한 결의 갈바테인이라는 게임이 최근 얼리엑세스로 출시됐는데요! 플레이 해보셨나요? 소감 한 말씀 부탁드려요!</x:v>
      </x:c>
      <x:c r="H18" s="9" t="str">
        <x:v>2주</x:v>
      </x:c>
      <x:c r="I18" s="9" t="d">
        <x:v>2026-09-24T16:31:44.000Z</x:v>
      </x:c>
      <x:c r="J18" s="9" t="e">
        <x:f>HYPERLINK("captures/instagram/027__mak_______.jpg","이미지 열기")</x:f>
        <x:v>HYPERLINK is not implemented. linkLocation=captures/instagram/027__mak_______.jpg, friendlyName=이미지 열기</x:v>
      </x:c>
      <x:c r="K18" s="9" t="e">
        <x:f>HYPERLINK("https://www.instagram.com/p/Ddm14-HgGpL/c/18122128465697711/","원문 열기")</x:f>
        <x:v>HYPERLINK is not implemented. linkLocation=https://www.instagram.com/p/Ddm14-HgGpL/c/18122128465697711/, friendlyName=원문 열기</x:v>
      </x:c>
      <x:c r="L18" s="9" t="n">
        <x:v>27</x:v>
      </x:c>
      <x:c r="M18" s="9" t="str">
        <x:v>18122128465697711</x:v>
      </x:c>
    </x:row>
    <x:row r="19" ht="48" customHeight="1">
      <x:c r="A19" s="9" t="str">
        <x:v>IG029</x:v>
      </x:c>
      <x:c r="B19" s="19" t="str">
        <x:v>인스타그램</x:v>
      </x:c>
      <x:c r="C19" s="9" t="str">
        <x:v>iaon_5135</x:v>
      </x:c>
      <x:c r="D19" s="9" t="str">
        <x:v>질문</x:v>
      </x:c>
      <x:c r="E19" s="9" t="str">
        <x:v>팀원·음악 인력 모집</x:v>
      </x:c>
      <x:c r="F19" s="10" t="str">
        <x:v>팀원·음악 인력 모집</x:v>
      </x:c>
      <x:c r="G19" s="10" t="str">
        <x:v>음악팀 뽑을 예정은없나용?</x:v>
      </x:c>
      <x:c r="H19" s="9" t="str">
        <x:v>2주</x:v>
      </x:c>
      <x:c r="I19" s="9" t="d">
        <x:v>2026-09-23T06:30:03.000Z</x:v>
      </x:c>
      <x:c r="J19" s="9" t="e">
        <x:f>HYPERLINK("captures/instagram/029_iaon_5135.jpg","이미지 열기")</x:f>
        <x:v>HYPERLINK is not implemented. linkLocation=captures/instagram/029_iaon_5135.jpg, friendlyName=이미지 열기</x:v>
      </x:c>
      <x:c r="K19" s="9" t="e">
        <x:f>HYPERLINK("https://www.instagram.com/p/Ddm14-HgGpL/c/18223601287338834/","원문 열기")</x:f>
        <x:v>HYPERLINK is not implemented. linkLocation=https://www.instagram.com/p/Ddm14-HgGpL/c/18223601287338834/, friendlyName=원문 열기</x:v>
      </x:c>
      <x:c r="L19" s="9" t="n">
        <x:v>29</x:v>
      </x:c>
      <x:c r="M19" s="9" t="str">
        <x:v>18223601287338834</x:v>
      </x:c>
    </x:row>
    <x:row r="20" ht="48" customHeight="1">
      <x:c r="A20" s="9" t="str">
        <x:v>IG031</x:v>
      </x:c>
      <x:c r="B20" s="19" t="str">
        <x:v>인스타그램</x:v>
      </x:c>
      <x:c r="C20" s="9" t="str">
        <x:v>matdongchani</x:v>
      </x:c>
      <x:c r="D20" s="9" t="str">
        <x:v>질문</x:v>
      </x:c>
      <x:c r="E20" s="9" t="str">
        <x:v>팀 결성·개발 시작 계기</x:v>
      </x:c>
      <x:c r="F20" s="10" t="str">
        <x:v>팀 결성·개발 시작 계기</x:v>
      </x:c>
      <x:c r="G20" s="10" t="str">
        <x:v>어떻게 만나셨고 어떻게 두분이서 같이하게 되었나요?</x:v>
      </x:c>
      <x:c r="H20" s="9" t="str">
        <x:v>2주</x:v>
      </x:c>
      <x:c r="I20" s="9" t="d">
        <x:v>2026-09-23T07:25:50.000Z</x:v>
      </x:c>
      <x:c r="J20" s="9" t="e">
        <x:f>HYPERLINK("captures/instagram/031_matdongchani.jpg","이미지 열기")</x:f>
        <x:v>HYPERLINK is not implemented. linkLocation=captures/instagram/031_matdongchani.jpg, friendlyName=이미지 열기</x:v>
      </x:c>
      <x:c r="K20" s="9" t="e">
        <x:f>HYPERLINK("https://www.instagram.com/p/Ddm14-HgGpL/c/17903138919589285/","원문 열기")</x:f>
        <x:v>HYPERLINK is not implemented. linkLocation=https://www.instagram.com/p/Ddm14-HgGpL/c/17903138919589285/, friendlyName=원문 열기</x:v>
      </x:c>
      <x:c r="L20" s="9" t="n">
        <x:v>31</x:v>
      </x:c>
      <x:c r="M20" s="9" t="str">
        <x:v>17903138919589285</x:v>
      </x:c>
    </x:row>
    <x:row r="21" ht="48" customHeight="1">
      <x:c r="A21" s="9" t="str">
        <x:v>IG033</x:v>
      </x:c>
      <x:c r="B21" s="19" t="str">
        <x:v>인스타그램</x:v>
      </x:c>
      <x:c r="C21" s="9" t="str">
        <x:v>etcaccountunt</x:v>
      </x:c>
      <x:c r="D21" s="9" t="str">
        <x:v>질문</x:v>
      </x:c>
      <x:c r="E21" s="9" t="str">
        <x:v>팀 결성·개발 시작 계기</x:v>
      </x:c>
      <x:c r="F21" s="10" t="str">
        <x:v>팀 결성·개발 시작 계기 / 게임 소개·장르·기획 방향</x:v>
      </x:c>
      <x:c r="G21" s="10" t="str">
        <x:v>어떤 이유로 기획을 시작하신건지, 어떻게 뭉치게 됐는지 궁금합니다 🙌🙌</x:v>
      </x:c>
      <x:c r="H21" s="9" t="str">
        <x:v>2주</x:v>
      </x:c>
      <x:c r="I21" s="9" t="d">
        <x:v>2026-09-23T09:01:29.000Z</x:v>
      </x:c>
      <x:c r="J21" s="9" t="e">
        <x:f>HYPERLINK("captures/instagram/033_etcaccountunt.jpg","이미지 열기")</x:f>
        <x:v>HYPERLINK is not implemented. linkLocation=captures/instagram/033_etcaccountunt.jpg, friendlyName=이미지 열기</x:v>
      </x:c>
      <x:c r="K21" s="9" t="e">
        <x:f>HYPERLINK("https://www.instagram.com/p/Ddm14-HgGpL/c/17921884449429708/","원문 열기")</x:f>
        <x:v>HYPERLINK is not implemented. linkLocation=https://www.instagram.com/p/Ddm14-HgGpL/c/17921884449429708/, friendlyName=원문 열기</x:v>
      </x:c>
      <x:c r="L21" s="9" t="n">
        <x:v>33</x:v>
      </x:c>
      <x:c r="M21" s="9" t="str">
        <x:v>17921884449429708</x:v>
      </x:c>
    </x:row>
    <x:row r="22" ht="48" customHeight="1">
      <x:c r="A22" s="9" t="str">
        <x:v>IG035</x:v>
      </x:c>
      <x:c r="B22" s="19" t="str">
        <x:v>인스타그램</x:v>
      </x:c>
      <x:c r="C22" s="9" t="str">
        <x:v>junhyeoks.d</x:v>
      </x:c>
      <x:c r="D22" s="9" t="str">
        <x:v>질문</x:v>
      </x:c>
      <x:c r="E22" s="9" t="str">
        <x:v>홍보·SNS 운영</x:v>
      </x:c>
      <x:c r="F22" s="10" t="str">
        <x:v>홍보·SNS 운영</x:v>
      </x:c>
      <x:c r="G22" s="10" t="str">
        <x:v>어쩌다가 릴스로 홍보할 생각을 하셨나요?</x:v>
      </x:c>
      <x:c r="H22" s="9" t="str">
        <x:v>2주</x:v>
      </x:c>
      <x:c r="I22" s="9" t="d">
        <x:v>2026-09-23T02:56:34.000Z</x:v>
      </x:c>
      <x:c r="J22" s="9" t="e">
        <x:f>HYPERLINK("captures/instagram/035_junhyeoks.d.jpg","이미지 열기")</x:f>
        <x:v>HYPERLINK is not implemented. linkLocation=captures/instagram/035_junhyeoks.d.jpg, friendlyName=이미지 열기</x:v>
      </x:c>
      <x:c r="K22" s="9" t="e">
        <x:f>HYPERLINK("https://www.instagram.com/p/Ddm14-HgGpL/c/18099995714373864/","원문 열기")</x:f>
        <x:v>HYPERLINK is not implemented. linkLocation=https://www.instagram.com/p/Ddm14-HgGpL/c/18099995714373864/, friendlyName=원문 열기</x:v>
      </x:c>
      <x:c r="L22" s="9" t="n">
        <x:v>35</x:v>
      </x:c>
      <x:c r="M22" s="9" t="str">
        <x:v>18099995714373864</x:v>
      </x:c>
    </x:row>
    <x:row r="23" ht="48" customHeight="1">
      <x:c r="A23" s="9" t="str">
        <x:v>IG037</x:v>
      </x:c>
      <x:c r="B23" s="19" t="str">
        <x:v>인스타그램</x:v>
      </x:c>
      <x:c r="C23" s="9" t="str">
        <x:v>j._.yu_</x:v>
      </x:c>
      <x:c r="D23" s="9" t="str">
        <x:v>질문</x:v>
      </x:c>
      <x:c r="E23" s="9" t="str">
        <x:v>팀 결성·개발 시작 계기</x:v>
      </x:c>
      <x:c r="F23" s="10" t="str">
        <x:v>팀 결성·개발 시작 계기</x:v>
      </x:c>
      <x:c r="G23" s="10" t="str">
        <x:v>어떻게 두 분이 모여서 이렇게 게임을 만드시게 된 건지 궁금해요</x:v>
      </x:c>
      <x:c r="H23" s="9" t="str">
        <x:v>2주</x:v>
      </x:c>
      <x:c r="I23" s="9" t="d">
        <x:v>2026-09-23T13:58:49.000Z</x:v>
      </x:c>
      <x:c r="J23" s="9" t="e">
        <x:f>HYPERLINK("captures/instagram/037_j._.yu_.jpg","이미지 열기")</x:f>
        <x:v>HYPERLINK is not implemented. linkLocation=captures/instagram/037_j._.yu_.jpg, friendlyName=이미지 열기</x:v>
      </x:c>
      <x:c r="K23" s="9" t="e">
        <x:f>HYPERLINK("https://www.instagram.com/p/Ddm14-HgGpL/c/18012830894756063/","원문 열기")</x:f>
        <x:v>HYPERLINK is not implemented. linkLocation=https://www.instagram.com/p/Ddm14-HgGpL/c/18012830894756063/, friendlyName=원문 열기</x:v>
      </x:c>
      <x:c r="L23" s="9" t="n">
        <x:v>37</x:v>
      </x:c>
      <x:c r="M23" s="9" t="str">
        <x:v>18012830894756063</x:v>
      </x:c>
    </x:row>
    <x:row r="24" ht="48" customHeight="1">
      <x:c r="A24" s="9" t="str">
        <x:v>IG039</x:v>
      </x:c>
      <x:c r="B24" s="19" t="str">
        <x:v>인스타그램</x:v>
      </x:c>
      <x:c r="C24" s="9" t="str">
        <x:v>yulbrofam_sangyul</x:v>
      </x:c>
      <x:c r="D24" s="9" t="str">
        <x:v>질문</x:v>
      </x:c>
      <x:c r="E24" s="9" t="str">
        <x:v>디스코드 사용</x:v>
      </x:c>
      <x:c r="F24" s="10" t="str">
        <x:v>디스코드 사용</x:v>
      </x:c>
      <x:c r="G24" s="10" t="str">
        <x:v>개발자님 평소 디코 얼마나 쓰시나여</x:v>
      </x:c>
      <x:c r="H24" s="9" t="str">
        <x:v>1주</x:v>
      </x:c>
      <x:c r="I24" s="9" t="d">
        <x:v>2026-09-26T02:24:17.000Z</x:v>
      </x:c>
      <x:c r="J24" s="9" t="e">
        <x:f>HYPERLINK("captures/instagram/039_yulbrofam_sangyul.jpg","이미지 열기")</x:f>
        <x:v>HYPERLINK is not implemented. linkLocation=captures/instagram/039_yulbrofam_sangyul.jpg, friendlyName=이미지 열기</x:v>
      </x:c>
      <x:c r="K24" s="9" t="e">
        <x:f>HYPERLINK("https://www.instagram.com/p/Ddm14-HgGpL/c/18020405633723269/","원문 열기")</x:f>
        <x:v>HYPERLINK is not implemented. linkLocation=https://www.instagram.com/p/Ddm14-HgGpL/c/18020405633723269/, friendlyName=원문 열기</x:v>
      </x:c>
      <x:c r="L24" s="9" t="n">
        <x:v>39</x:v>
      </x:c>
      <x:c r="M24" s="9" t="str">
        <x:v>18020405633723269</x:v>
      </x:c>
    </x:row>
    <x:row r="25" ht="48" customHeight="1">
      <x:c r="A25" s="9" t="str">
        <x:v>IG041</x:v>
      </x:c>
      <x:c r="B25" s="19" t="str">
        <x:v>인스타그램</x:v>
      </x:c>
      <x:c r="C25" s="9" t="str">
        <x:v>han_tol07</x:v>
      </x:c>
      <x:c r="D25" s="9" t="str">
        <x:v>질문</x:v>
      </x:c>
      <x:c r="E25" s="9" t="str">
        <x:v>일상·운동·장난 질문</x:v>
      </x:c>
      <x:c r="F25" s="10" t="str">
        <x:v>일상·운동·장난 질문</x:v>
      </x:c>
      <x:c r="G25" s="10" t="str">
        <x:v>옷 안빨아요?</x:v>
      </x:c>
      <x:c r="H25" s="9" t="str">
        <x:v>2주</x:v>
      </x:c>
      <x:c r="I25" s="9" t="d">
        <x:v>2026-09-23T09:00:29.000Z</x:v>
      </x:c>
      <x:c r="J25" s="9" t="e">
        <x:f>HYPERLINK("captures/instagram/041_han_tol07.jpg","이미지 열기")</x:f>
        <x:v>HYPERLINK is not implemented. linkLocation=captures/instagram/041_han_tol07.jpg, friendlyName=이미지 열기</x:v>
      </x:c>
      <x:c r="K25" s="9" t="e">
        <x:f>HYPERLINK("https://www.instagram.com/p/Ddm14-HgGpL/c/18633526771005549/","원문 열기")</x:f>
        <x:v>HYPERLINK is not implemented. linkLocation=https://www.instagram.com/p/Ddm14-HgGpL/c/18633526771005549/, friendlyName=원문 열기</x:v>
      </x:c>
      <x:c r="L25" s="9" t="n">
        <x:v>41</x:v>
      </x:c>
      <x:c r="M25" s="9" t="str">
        <x:v>18633526771005549</x:v>
      </x:c>
    </x:row>
    <x:row r="26" ht="48" customHeight="1">
      <x:c r="A26" s="9" t="str">
        <x:v>IG043</x:v>
      </x:c>
      <x:c r="B26" s="19" t="str">
        <x:v>인스타그램</x:v>
      </x:c>
      <x:c r="C26" s="9" t="str">
        <x:v>hong_ry30n_</x:v>
      </x:c>
      <x:c r="D26" s="9" t="str">
        <x:v>질문</x:v>
      </x:c>
      <x:c r="E26" s="9" t="str">
        <x:v>MBTI</x:v>
      </x:c>
      <x:c r="F26" s="10" t="str">
        <x:v>MBTI</x:v>
      </x:c>
      <x:c r="G26" s="10" t="str">
        <x:v>두분 mbti 궁금합니다!!!</x:v>
      </x:c>
      <x:c r="H26" s="9" t="str">
        <x:v>2주</x:v>
      </x:c>
      <x:c r="I26" s="9" t="d">
        <x:v>2026-09-23T21:23:32.000Z</x:v>
      </x:c>
      <x:c r="J26" s="9" t="e">
        <x:f>HYPERLINK("captures/instagram/043_hong_ry30n_.jpg","이미지 열기")</x:f>
        <x:v>HYPERLINK is not implemented. linkLocation=captures/instagram/043_hong_ry30n_.jpg, friendlyName=이미지 열기</x:v>
      </x:c>
      <x:c r="K26" s="9" t="e">
        <x:f>HYPERLINK("https://www.instagram.com/p/Ddm14-HgGpL/c/17961714264210603/","원문 열기")</x:f>
        <x:v>HYPERLINK is not implemented. linkLocation=https://www.instagram.com/p/Ddm14-HgGpL/c/17961714264210603/, friendlyName=원문 열기</x:v>
      </x:c>
      <x:c r="L26" s="9" t="n">
        <x:v>43</x:v>
      </x:c>
      <x:c r="M26" s="9" t="str">
        <x:v>17961714264210603</x:v>
      </x:c>
    </x:row>
    <x:row r="27" ht="48" customHeight="1">
      <x:c r="A27" s="9" t="str">
        <x:v>IG045</x:v>
      </x:c>
      <x:c r="B27" s="19" t="str">
        <x:v>인스타그램</x:v>
      </x:c>
      <x:c r="C27" s="9" t="str">
        <x:v>jongjoo.seo</x:v>
      </x:c>
      <x:c r="D27" s="9" t="str">
        <x:v>질문</x:v>
      </x:c>
      <x:c r="E27" s="9" t="str">
        <x:v>팀 결성·개발 시작 계기</x:v>
      </x:c>
      <x:c r="F27" s="10" t="str">
        <x:v>팀 결성·개발 시작 계기</x:v>
      </x:c>
      <x:c r="G27" s="10" t="str">
        <x:v>두분이 처음알게된 스토리가 어떻게 되나요?</x:v>
      </x:c>
      <x:c r="H27" s="9" t="str">
        <x:v>2주</x:v>
      </x:c>
      <x:c r="I27" s="9" t="d">
        <x:v>2026-09-23T03:27:02.000Z</x:v>
      </x:c>
      <x:c r="J27" s="9" t="e">
        <x:f>HYPERLINK("captures/instagram/045_jongjoo.seo.jpg","이미지 열기")</x:f>
        <x:v>HYPERLINK is not implemented. linkLocation=captures/instagram/045_jongjoo.seo.jpg, friendlyName=이미지 열기</x:v>
      </x:c>
      <x:c r="K27" s="9" t="e">
        <x:f>HYPERLINK("https://www.instagram.com/p/Ddm14-HgGpL/c/18087420524680409/","원문 열기")</x:f>
        <x:v>HYPERLINK is not implemented. linkLocation=https://www.instagram.com/p/Ddm14-HgGpL/c/18087420524680409/, friendlyName=원문 열기</x:v>
      </x:c>
      <x:c r="L27" s="9" t="n">
        <x:v>45</x:v>
      </x:c>
      <x:c r="M27" s="9" t="str">
        <x:v>18087420524680409</x:v>
      </x:c>
    </x:row>
    <x:row r="28" ht="48" customHeight="1">
      <x:c r="A28" s="9" t="str">
        <x:v>IG047</x:v>
      </x:c>
      <x:c r="B28" s="19" t="str">
        <x:v>인스타그램</x:v>
      </x:c>
      <x:c r="C28" s="9" t="str">
        <x:v>vve_vee882</x:v>
      </x:c>
      <x:c r="D28" s="9" t="str">
        <x:v>질문</x:v>
      </x:c>
      <x:c r="E28" s="9" t="str">
        <x:v>출시·공개·얼리액세스</x:v>
      </x:c>
      <x:c r="F28" s="10" t="str">
        <x:v>출시·공개·얼리액세스</x:v>
      </x:c>
      <x:c r="G28" s="10" t="str">
        <x:v>게임 출시 예정일 ?</x:v>
      </x:c>
      <x:c r="H28" s="9" t="str">
        <x:v>2주</x:v>
      </x:c>
      <x:c r="I28" s="9" t="d">
        <x:v>2026-09-23T09:09:10.000Z</x:v>
      </x:c>
      <x:c r="J28" s="9" t="e">
        <x:f>HYPERLINK("captures/instagram/047_vve_vee882.jpg","이미지 열기")</x:f>
        <x:v>HYPERLINK is not implemented. linkLocation=captures/instagram/047_vve_vee882.jpg, friendlyName=이미지 열기</x:v>
      </x:c>
      <x:c r="K28" s="9" t="e">
        <x:f>HYPERLINK("https://www.instagram.com/p/Ddm14-HgGpL/c/17882901591687163/","원문 열기")</x:f>
        <x:v>HYPERLINK is not implemented. linkLocation=https://www.instagram.com/p/Ddm14-HgGpL/c/17882901591687163/, friendlyName=원문 열기</x:v>
      </x:c>
      <x:c r="L28" s="9" t="n">
        <x:v>47</x:v>
      </x:c>
      <x:c r="M28" s="9" t="str">
        <x:v>17882901591687163</x:v>
      </x:c>
    </x:row>
    <x:row r="29" ht="48" customHeight="1">
      <x:c r="A29" s="9" t="str">
        <x:v>IG049</x:v>
      </x:c>
      <x:c r="B29" s="19" t="str">
        <x:v>인스타그램</x:v>
      </x:c>
      <x:c r="C29" s="9" t="str">
        <x:v>gozldqjarkaksdkseh</x:v>
      </x:c>
      <x:c r="D29" s="9" t="str">
        <x:v>질문</x:v>
      </x:c>
      <x:c r="E29" s="9" t="str">
        <x:v>좋아하는 게임·주력 장르</x:v>
      </x:c>
      <x:c r="F29" s="10" t="str">
        <x:v>좋아하는 게임·주력 장르</x:v>
      </x:c>
      <x:c r="G29" s="10" t="str">
        <x:v>두 분이 가장 좋아하는 게임은 뭔가용??</x:v>
      </x:c>
      <x:c r="H29" s="9" t="str">
        <x:v>2주</x:v>
      </x:c>
      <x:c r="I29" s="9" t="d">
        <x:v>2026-09-23T02:28:20.000Z</x:v>
      </x:c>
      <x:c r="J29" s="9" t="e">
        <x:f>HYPERLINK("captures/instagram/049_gozldqjarkaksdkseh.jpg","이미지 열기")</x:f>
        <x:v>HYPERLINK is not implemented. linkLocation=captures/instagram/049_gozldqjarkaksdkseh.jpg, friendlyName=이미지 열기</x:v>
      </x:c>
      <x:c r="K29" s="9" t="e">
        <x:f>HYPERLINK("https://www.instagram.com/p/Ddm14-HgGpL/c/18103522208632273/","원문 열기")</x:f>
        <x:v>HYPERLINK is not implemented. linkLocation=https://www.instagram.com/p/Ddm14-HgGpL/c/18103522208632273/, friendlyName=원문 열기</x:v>
      </x:c>
      <x:c r="L29" s="9" t="n">
        <x:v>49</x:v>
      </x:c>
      <x:c r="M29" s="9" t="str">
        <x:v>18103522208632273</x:v>
      </x:c>
    </x:row>
    <x:row r="30" ht="48" customHeight="1">
      <x:c r="A30" s="9" t="str">
        <x:v>IG051</x:v>
      </x:c>
      <x:c r="B30" s="19" t="str">
        <x:v>인스타그램</x:v>
      </x:c>
      <x:c r="C30" s="9" t="str">
        <x:v>ms_pimo</x:v>
      </x:c>
      <x:c r="D30" s="9" t="str">
        <x:v>질문</x:v>
      </x:c>
      <x:c r="E30" s="9" t="str">
        <x:v>근무시간·수면·개발 우선순위</x:v>
      </x:c>
      <x:c r="F30" s="10" t="str">
        <x:v>근무시간·수면·개발 우선순위</x:v>
      </x:c>
      <x:c r="G30" s="10" t="str">
        <x:v>게임개발이 우선인가요 인스타가 우선인가요?</x:v>
      </x:c>
      <x:c r="H30" s="9" t="str">
        <x:v>2주</x:v>
      </x:c>
      <x:c r="I30" s="9" t="d">
        <x:v>2026-09-23T01:36:29.000Z</x:v>
      </x:c>
      <x:c r="J30" s="9" t="e">
        <x:f>HYPERLINK("captures/instagram/051_ms_pimo.jpg","이미지 열기")</x:f>
        <x:v>HYPERLINK is not implemented. linkLocation=captures/instagram/051_ms_pimo.jpg, friendlyName=이미지 열기</x:v>
      </x:c>
      <x:c r="K30" s="9" t="e">
        <x:f>HYPERLINK("https://www.instagram.com/p/Ddm14-HgGpL/c/18609563938001684/","원문 열기")</x:f>
        <x:v>HYPERLINK is not implemented. linkLocation=https://www.instagram.com/p/Ddm14-HgGpL/c/18609563938001684/, friendlyName=원문 열기</x:v>
      </x:c>
      <x:c r="L30" s="9" t="n">
        <x:v>51</x:v>
      </x:c>
      <x:c r="M30" s="9" t="str">
        <x:v>18609563938001684</x:v>
      </x:c>
    </x:row>
    <x:row r="31" ht="48" customHeight="1">
      <x:c r="A31" s="9" t="str">
        <x:v>IG053</x:v>
      </x:c>
      <x:c r="B31" s="19" t="str">
        <x:v>인스타그램</x:v>
      </x:c>
      <x:c r="C31" s="9" t="str">
        <x:v>minjae.sup</x:v>
      </x:c>
      <x:c r="D31" s="9" t="str">
        <x:v>질문</x:v>
      </x:c>
      <x:c r="E31" s="9" t="str">
        <x:v>팀 결성·개발 시작 계기</x:v>
      </x:c>
      <x:c r="F31" s="10" t="str">
        <x:v>팀 결성·개발 시작 계기</x:v>
      </x:c>
      <x:c r="G31" s="10" t="str">
        <x:v>두분은 어떤계기로 사업에뛰어들으셧는지 궁굼</x:v>
      </x:c>
      <x:c r="H31" s="9" t="str">
        <x:v>2주</x:v>
      </x:c>
      <x:c r="I31" s="9" t="d">
        <x:v>2026-09-23T02:32:08.000Z</x:v>
      </x:c>
      <x:c r="J31" s="9" t="e">
        <x:f>HYPERLINK("captures/instagram/053_minjae.sup.jpg","이미지 열기")</x:f>
        <x:v>HYPERLINK is not implemented. linkLocation=captures/instagram/053_minjae.sup.jpg, friendlyName=이미지 열기</x:v>
      </x:c>
      <x:c r="K31" s="9" t="e">
        <x:f>HYPERLINK("https://www.instagram.com/p/Ddm14-HgGpL/c/18115492439107796/","원문 열기")</x:f>
        <x:v>HYPERLINK is not implemented. linkLocation=https://www.instagram.com/p/Ddm14-HgGpL/c/18115492439107796/, friendlyName=원문 열기</x:v>
      </x:c>
      <x:c r="L31" s="9" t="n">
        <x:v>53</x:v>
      </x:c>
      <x:c r="M31" s="9" t="str">
        <x:v>18115492439107796</x:v>
      </x:c>
    </x:row>
    <x:row r="32" ht="48" customHeight="1">
      <x:c r="A32" s="9" t="str">
        <x:v>IG055</x:v>
      </x:c>
      <x:c r="B32" s="19" t="str">
        <x:v>인스타그램</x:v>
      </x:c>
      <x:c r="C32" s="9" t="str">
        <x:v>ariplates</x:v>
      </x:c>
      <x:c r="D32" s="9" t="str">
        <x:v>반응·응원</x:v>
      </x:c>
      <x:c r="E32" s="9" t="str">
        <x:v>응원·시청 반응</x:v>
      </x:c>
      <x:c r="F32" s="10" t="str">
        <x:v>응원·시청 반응</x:v>
      </x:c>
      <x:c r="G32" s="10" t="str">
        <x:v>재밌어요!</x:v>
      </x:c>
      <x:c r="H32" s="9" t="str">
        <x:v>2주</x:v>
      </x:c>
      <x:c r="I32" s="9" t="d">
        <x:v>2026-09-23T15:36:08.000Z</x:v>
      </x:c>
      <x:c r="J32" s="9" t="e">
        <x:f>HYPERLINK("captures/instagram/055_ariplates.jpg","이미지 열기")</x:f>
        <x:v>HYPERLINK is not implemented. linkLocation=captures/instagram/055_ariplates.jpg, friendlyName=이미지 열기</x:v>
      </x:c>
      <x:c r="K32" s="9" t="e">
        <x:f>HYPERLINK("https://www.instagram.com/p/Ddm14-HgGpL/c/18088816139679934/","원문 열기")</x:f>
        <x:v>HYPERLINK is not implemented. linkLocation=https://www.instagram.com/p/Ddm14-HgGpL/c/18088816139679934/, friendlyName=원문 열기</x:v>
      </x:c>
      <x:c r="L32" s="9" t="n">
        <x:v>55</x:v>
      </x:c>
      <x:c r="M32" s="9" t="str">
        <x:v>18088816139679934</x:v>
      </x:c>
    </x:row>
    <x:row r="33" ht="48" customHeight="1">
      <x:c r="A33" s="9" t="str">
        <x:v>IG057</x:v>
      </x:c>
      <x:c r="B33" s="19" t="str">
        <x:v>인스타그램</x:v>
      </x:c>
      <x:c r="C33" s="9" t="str">
        <x:v>jeongjiyong889</x:v>
      </x:c>
      <x:c r="D33" s="9" t="str">
        <x:v>질문</x:v>
      </x:c>
      <x:c r="E33" s="9" t="str">
        <x:v>좋아하는 애니메이션</x:v>
      </x:c>
      <x:c r="F33" s="10" t="str">
        <x:v>좋아하는 애니메이션</x:v>
      </x:c>
      <x:c r="G33" s="10" t="str">
        <x:v>최애 애니메이션 알려주세요</x:v>
      </x:c>
      <x:c r="H33" s="9" t="str">
        <x:v>2주</x:v>
      </x:c>
      <x:c r="I33" s="9" t="d">
        <x:v>2026-09-23T04:04:29.000Z</x:v>
      </x:c>
      <x:c r="J33" s="9" t="e">
        <x:f>HYPERLINK("captures/instagram/057_jeongjiyong889.jpg","이미지 열기")</x:f>
        <x:v>HYPERLINK is not implemented. linkLocation=captures/instagram/057_jeongjiyong889.jpg, friendlyName=이미지 열기</x:v>
      </x:c>
      <x:c r="K33" s="9" t="e">
        <x:f>HYPERLINK("https://www.instagram.com/p/Ddm14-HgGpL/c/18090624410679440/","원문 열기")</x:f>
        <x:v>HYPERLINK is not implemented. linkLocation=https://www.instagram.com/p/Ddm14-HgGpL/c/18090624410679440/, friendlyName=원문 열기</x:v>
      </x:c>
      <x:c r="L33" s="9" t="n">
        <x:v>57</x:v>
      </x:c>
      <x:c r="M33" s="9" t="str">
        <x:v>18090624410679440</x:v>
      </x:c>
    </x:row>
    <x:row r="34" ht="48" customHeight="1">
      <x:c r="A34" s="9" t="str">
        <x:v>IG059</x:v>
      </x:c>
      <x:c r="B34" s="19" t="str">
        <x:v>인스타그램</x:v>
      </x:c>
      <x:c r="C34" s="9" t="str">
        <x:v>sianism_sean</x:v>
      </x:c>
      <x:c r="D34" s="9" t="str">
        <x:v>질문</x:v>
      </x:c>
      <x:c r="E34" s="9" t="str">
        <x:v>식사·커피·회식 에피소드</x:v>
      </x:c>
      <x:c r="F34" s="10" t="str">
        <x:v>식사·커피·회식 에피소드</x:v>
      </x:c>
      <x:c r="G34" s="10" t="str">
        <x:v>회식하시나요</x:v>
      </x:c>
      <x:c r="H34" s="9" t="str">
        <x:v>2주</x:v>
      </x:c>
      <x:c r="I34" s="9" t="d">
        <x:v>2026-09-23T09:25:56.000Z</x:v>
      </x:c>
      <x:c r="J34" s="9" t="e">
        <x:f>HYPERLINK("captures/instagram/059_sianism_sean.jpg","이미지 열기")</x:f>
        <x:v>HYPERLINK is not implemented. linkLocation=captures/instagram/059_sianism_sean.jpg, friendlyName=이미지 열기</x:v>
      </x:c>
      <x:c r="K34" s="9" t="e">
        <x:f>HYPERLINK("https://www.instagram.com/p/Ddm14-HgGpL/c/18071750462743360/","원문 열기")</x:f>
        <x:v>HYPERLINK is not implemented. linkLocation=https://www.instagram.com/p/Ddm14-HgGpL/c/18071750462743360/, friendlyName=원문 열기</x:v>
      </x:c>
      <x:c r="L34" s="9" t="n">
        <x:v>59</x:v>
      </x:c>
      <x:c r="M34" s="9" t="str">
        <x:v>18071750462743360</x:v>
      </x:c>
    </x:row>
    <x:row r="35" ht="48" customHeight="1">
      <x:c r="A35" s="9" t="str">
        <x:v>IG061</x:v>
      </x:c>
      <x:c r="B35" s="19" t="str">
        <x:v>인스타그램</x:v>
      </x:c>
      <x:c r="C35" s="9" t="str">
        <x:v>hyeonhee_0825</x:v>
      </x:c>
      <x:c r="D35" s="9" t="str">
        <x:v>질문</x:v>
      </x:c>
      <x:c r="E35" s="9" t="str">
        <x:v>개발 장소</x:v>
      </x:c>
      <x:c r="F35" s="10" t="str">
        <x:v>개발 장소</x:v>
      </x:c>
      <x:c r="G35" s="10" t="str">
        <x:v>개발은 어디서 하시는 건가요?</x:v>
      </x:c>
      <x:c r="H35" s="9" t="str">
        <x:v>2주</x:v>
      </x:c>
      <x:c r="I35" s="9" t="d">
        <x:v>2026-09-23T02:03:57.000Z</x:v>
      </x:c>
      <x:c r="J35" s="9" t="e">
        <x:f>HYPERLINK("captures/instagram/061_hyeonhee_0825.jpg","이미지 열기")</x:f>
        <x:v>HYPERLINK is not implemented. linkLocation=captures/instagram/061_hyeonhee_0825.jpg, friendlyName=이미지 열기</x:v>
      </x:c>
      <x:c r="K35" s="9" t="e">
        <x:f>HYPERLINK("https://www.instagram.com/p/Ddm14-HgGpL/c/18108325589178797/","원문 열기")</x:f>
        <x:v>HYPERLINK is not implemented. linkLocation=https://www.instagram.com/p/Ddm14-HgGpL/c/18108325589178797/, friendlyName=원문 열기</x:v>
      </x:c>
      <x:c r="L35" s="9" t="n">
        <x:v>61</x:v>
      </x:c>
      <x:c r="M35" s="9" t="str">
        <x:v>18108325589178797</x:v>
      </x:c>
    </x:row>
    <x:row r="36" ht="48" customHeight="1">
      <x:c r="A36" s="9" t="str">
        <x:v>IG063</x:v>
      </x:c>
      <x:c r="B36" s="19" t="str">
        <x:v>인스타그램</x:v>
      </x:c>
      <x:c r="C36" s="9" t="str">
        <x:v>kimgyuri_03</x:v>
      </x:c>
      <x:c r="D36" s="9" t="str">
        <x:v>질문</x:v>
      </x:c>
      <x:c r="E36" s="9" t="str">
        <x:v>팀 결성·개발 시작 계기</x:v>
      </x:c>
      <x:c r="F36" s="10" t="str">
        <x:v>팀 결성·개발 시작 계기</x:v>
      </x:c>
      <x:c r="G36" s="10" t="str">
        <x:v>어쩌다 두분이서 인디 게임 개발 시작하게 되었는지 궁금해요</x:v>
      </x:c>
      <x:c r="H36" s="9" t="str">
        <x:v>2주</x:v>
      </x:c>
      <x:c r="I36" s="9" t="d">
        <x:v>2026-09-23T03:57:46.000Z</x:v>
      </x:c>
      <x:c r="J36" s="9" t="e">
        <x:f>HYPERLINK("captures/instagram/063_kimgyuri_03.jpg","이미지 열기")</x:f>
        <x:v>HYPERLINK is not implemented. linkLocation=captures/instagram/063_kimgyuri_03.jpg, friendlyName=이미지 열기</x:v>
      </x:c>
      <x:c r="K36" s="9" t="e">
        <x:f>HYPERLINK("https://www.instagram.com/p/Ddm14-HgGpL/c/18093562421401622/","원문 열기")</x:f>
        <x:v>HYPERLINK is not implemented. linkLocation=https://www.instagram.com/p/Ddm14-HgGpL/c/18093562421401622/, friendlyName=원문 열기</x:v>
      </x:c>
      <x:c r="L36" s="9" t="n">
        <x:v>63</x:v>
      </x:c>
      <x:c r="M36" s="9" t="str">
        <x:v>18093562421401622</x:v>
      </x:c>
    </x:row>
    <x:row r="37" ht="48" customHeight="1">
      <x:c r="A37" s="9" t="str">
        <x:v>IG065</x:v>
      </x:c>
      <x:c r="B37" s="19" t="str">
        <x:v>인스타그램</x:v>
      </x:c>
      <x:c r="C37" s="9" t="str">
        <x:v>wlghkschlrh_0</x:v>
      </x:c>
      <x:c r="D37" s="9" t="str">
        <x:v>질문</x:v>
      </x:c>
      <x:c r="E37" s="9" t="str">
        <x:v>홍보·SNS 운영</x:v>
      </x:c>
      <x:c r="F37" s="10" t="str">
        <x:v>홍보·SNS 운영</x:v>
      </x:c>
      <x:c r="G37" s="10" t="str">
        <x:v>인스타 답글은 어떤분이 주시는건가요!</x:v>
      </x:c>
      <x:c r="H37" s="9" t="str">
        <x:v>2주</x:v>
      </x:c>
      <x:c r="I37" s="9" t="d">
        <x:v>2026-09-24T05:04:21.000Z</x:v>
      </x:c>
      <x:c r="J37" s="9" t="e">
        <x:f>HYPERLINK("captures/instagram/065_wlghkschlrh_0.jpg","이미지 열기")</x:f>
        <x:v>HYPERLINK is not implemented. linkLocation=captures/instagram/065_wlghkschlrh_0.jpg, friendlyName=이미지 열기</x:v>
      </x:c>
      <x:c r="K37" s="9" t="e">
        <x:f>HYPERLINK("https://www.instagram.com/p/Ddm14-HgGpL/c/18032384636667404/","원문 열기")</x:f>
        <x:v>HYPERLINK is not implemented. linkLocation=https://www.instagram.com/p/Ddm14-HgGpL/c/18032384636667404/, friendlyName=원문 열기</x:v>
      </x:c>
      <x:c r="L37" s="9" t="n">
        <x:v>65</x:v>
      </x:c>
      <x:c r="M37" s="9" t="str">
        <x:v>18032384636667404</x:v>
      </x:c>
    </x:row>
    <x:row r="38" ht="48" customHeight="1">
      <x:c r="A38" s="9" t="str">
        <x:v>IG067</x:v>
      </x:c>
      <x:c r="B38" s="19" t="str">
        <x:v>인스타그램</x:v>
      </x:c>
      <x:c r="C38" s="9" t="str">
        <x:v>mama.xitta</x:v>
      </x:c>
      <x:c r="D38" s="9" t="str">
        <x:v>질문</x:v>
      </x:c>
      <x:c r="E38" s="9" t="str">
        <x:v>팀 결성·개발 시작 계기</x:v>
      </x:c>
      <x:c r="F38" s="10" t="str">
        <x:v>팀 결성·개발 시작 계기</x:v>
      </x:c>
      <x:c r="G38" s="10" t="str">
        <x:v>두 분 어떻게 만나게되셧나용</x:v>
      </x:c>
      <x:c r="H38" s="9" t="str">
        <x:v>2주</x:v>
      </x:c>
      <x:c r="I38" s="9" t="d">
        <x:v>2026-09-23T00:39:40.000Z</x:v>
      </x:c>
      <x:c r="J38" s="9" t="e">
        <x:f>HYPERLINK("captures/instagram/067_mama.xitta.jpg","이미지 열기")</x:f>
        <x:v>HYPERLINK is not implemented. linkLocation=captures/instagram/067_mama.xitta.jpg, friendlyName=이미지 열기</x:v>
      </x:c>
      <x:c r="K38" s="9" t="e">
        <x:f>HYPERLINK("https://www.instagram.com/p/Ddm14-HgGpL/c/18109447994129474/","원문 열기")</x:f>
        <x:v>HYPERLINK is not implemented. linkLocation=https://www.instagram.com/p/Ddm14-HgGpL/c/18109447994129474/, friendlyName=원문 열기</x:v>
      </x:c>
      <x:c r="L38" s="9" t="n">
        <x:v>67</x:v>
      </x:c>
      <x:c r="M38" s="9" t="str">
        <x:v>18109447994129474</x:v>
      </x:c>
    </x:row>
    <x:row r="39" ht="48" customHeight="1">
      <x:c r="A39" s="9" t="str">
        <x:v>IG069</x:v>
      </x:c>
      <x:c r="B39" s="19" t="str">
        <x:v>인스타그램</x:v>
      </x:c>
      <x:c r="C39" s="9" t="str">
        <x:v>dd_624_</x:v>
      </x:c>
      <x:c r="D39" s="9" t="str">
        <x:v>질문</x:v>
      </x:c>
      <x:c r="E39" s="9" t="str">
        <x:v>이스터에그</x:v>
      </x:c>
      <x:c r="F39" s="10" t="str">
        <x:v>이스터에그</x:v>
      </x:c>
      <x:c r="G39" s="10" t="str">
        <x:v>이스터에그도 숨겨져있나요??</x:v>
      </x:c>
      <x:c r="H39" s="9" t="str">
        <x:v>2주</x:v>
      </x:c>
      <x:c r="I39" s="9" t="d">
        <x:v>2026-09-23T00:48:42.000Z</x:v>
      </x:c>
      <x:c r="J39" s="9" t="e">
        <x:f>HYPERLINK("captures/instagram/069_dd_624_.jpg","이미지 열기")</x:f>
        <x:v>HYPERLINK is not implemented. linkLocation=captures/instagram/069_dd_624_.jpg, friendlyName=이미지 열기</x:v>
      </x:c>
      <x:c r="K39" s="9" t="e">
        <x:f>HYPERLINK("https://www.instagram.com/p/Ddm14-HgGpL/c/18096337304646020/","원문 열기")</x:f>
        <x:v>HYPERLINK is not implemented. linkLocation=https://www.instagram.com/p/Ddm14-HgGpL/c/18096337304646020/, friendlyName=원문 열기</x:v>
      </x:c>
      <x:c r="L39" s="9" t="n">
        <x:v>69</x:v>
      </x:c>
      <x:c r="M39" s="9" t="str">
        <x:v>18096337304646020</x:v>
      </x:c>
    </x:row>
    <x:row r="40" ht="48" customHeight="1">
      <x:c r="A40" s="9" t="str">
        <x:v>IG071</x:v>
      </x:c>
      <x:c r="B40" s="19" t="str">
        <x:v>인스타그램</x:v>
      </x:c>
      <x:c r="C40" s="9" t="str">
        <x:v>jun_zero404</x:v>
      </x:c>
      <x:c r="D40" s="9" t="str">
        <x:v>질문</x:v>
      </x:c>
      <x:c r="E40" s="9" t="str">
        <x:v>게임 소개·장르·기획 방향</x:v>
      </x:c>
      <x:c r="F40" s="10" t="str">
        <x:v>게임 소개·장르·기획 방향</x:v>
      </x:c>
      <x:c r="G40" s="10" t="str">
        <x:v>무슨 게임 만드시나요??</x:v>
      </x:c>
      <x:c r="H40" s="9" t="str">
        <x:v>2주</x:v>
      </x:c>
      <x:c r="I40" s="9" t="d">
        <x:v>2026-09-23T06:06:47.000Z</x:v>
      </x:c>
      <x:c r="J40" s="9" t="e">
        <x:f>HYPERLINK("captures/instagram/071_jun_zero404.jpg","이미지 열기")</x:f>
        <x:v>HYPERLINK is not implemented. linkLocation=captures/instagram/071_jun_zero404.jpg, friendlyName=이미지 열기</x:v>
      </x:c>
      <x:c r="K40" s="9" t="e">
        <x:f>HYPERLINK("https://www.instagram.com/p/Ddm14-HgGpL/c/17980030467067932/","원문 열기")</x:f>
        <x:v>HYPERLINK is not implemented. linkLocation=https://www.instagram.com/p/Ddm14-HgGpL/c/17980030467067932/, friendlyName=원문 열기</x:v>
      </x:c>
      <x:c r="L40" s="9" t="n">
        <x:v>71</x:v>
      </x:c>
      <x:c r="M40" s="9" t="str">
        <x:v>17980030467067932</x:v>
      </x:c>
    </x:row>
    <x:row r="41" ht="48" customHeight="1">
      <x:c r="A41" s="9" t="str">
        <x:v>IG073</x:v>
      </x:c>
      <x:c r="B41" s="19" t="str">
        <x:v>인스타그램</x:v>
      </x:c>
      <x:c r="C41" s="9" t="str">
        <x:v>kim._123456789</x:v>
      </x:c>
      <x:c r="D41" s="9" t="str">
        <x:v>질문</x:v>
      </x:c>
      <x:c r="E41" s="9" t="str">
        <x:v>게임 철학·좋은 게임의 기준</x:v>
      </x:c>
      <x:c r="F41" s="10" t="str">
        <x:v>게임 철학·좋은 게임의 기준</x:v>
      </x:c>
      <x:c r="G41" s="10" t="str">
        <x:v>좋은 게임의 기준은 뭐라고 생각하시나요?</x:v>
      </x:c>
      <x:c r="H41" s="9" t="str">
        <x:v>2주</x:v>
      </x:c>
      <x:c r="I41" s="9" t="d">
        <x:v>2026-09-23T02:33:33.000Z</x:v>
      </x:c>
      <x:c r="J41" s="9" t="e">
        <x:f>HYPERLINK("captures/instagram/073_kim._123456789.jpg","이미지 열기")</x:f>
        <x:v>HYPERLINK is not implemented. linkLocation=captures/instagram/073_kim._123456789.jpg, friendlyName=이미지 열기</x:v>
      </x:c>
      <x:c r="K41" s="9" t="e">
        <x:f>HYPERLINK("https://www.instagram.com/p/Ddm14-HgGpL/c/18108598811247712/","원문 열기")</x:f>
        <x:v>HYPERLINK is not implemented. linkLocation=https://www.instagram.com/p/Ddm14-HgGpL/c/18108598811247712/, friendlyName=원문 열기</x:v>
      </x:c>
      <x:c r="L41" s="9" t="n">
        <x:v>73</x:v>
      </x:c>
      <x:c r="M41" s="9" t="str">
        <x:v>18108598811247712</x:v>
      </x:c>
    </x:row>
    <x:row r="42" ht="48" customHeight="1">
      <x:c r="A42" s="9" t="str">
        <x:v>IG075</x:v>
      </x:c>
      <x:c r="B42" s="19" t="str">
        <x:v>인스타그램</x:v>
      </x:c>
      <x:c r="C42" s="9" t="str">
        <x:v>jx_xlil</x:v>
      </x:c>
      <x:c r="D42" s="9" t="str">
        <x:v>질문</x:v>
      </x:c>
      <x:c r="E42" s="9" t="str">
        <x:v>개발 기술·엔진·구현</x:v>
      </x:c>
      <x:c r="F42" s="10" t="str">
        <x:v>개발 기술·엔진·구현</x:v>
      </x:c>
      <x:c r="G42" s="10" t="str">
        <x:v>기술스택이 궁금합니다</x:v>
      </x:c>
      <x:c r="H42" s="9" t="str">
        <x:v>2주</x:v>
      </x:c>
      <x:c r="I42" s="9" t="d">
        <x:v>2026-09-23T00:33:16.000Z</x:v>
      </x:c>
      <x:c r="J42" s="9" t="e">
        <x:f>HYPERLINK("captures/instagram/075_jx_xlil.jpg","이미지 열기")</x:f>
        <x:v>HYPERLINK is not implemented. linkLocation=captures/instagram/075_jx_xlil.jpg, friendlyName=이미지 열기</x:v>
      </x:c>
      <x:c r="K42" s="9" t="e">
        <x:f>HYPERLINK("https://www.instagram.com/p/Ddm14-HgGpL/c/17948992089336879/","원문 열기")</x:f>
        <x:v>HYPERLINK is not implemented. linkLocation=https://www.instagram.com/p/Ddm14-HgGpL/c/17948992089336879/, friendlyName=원문 열기</x:v>
      </x:c>
      <x:c r="L42" s="9" t="n">
        <x:v>75</x:v>
      </x:c>
      <x:c r="M42" s="9" t="str">
        <x:v>17948992089336879</x:v>
      </x:c>
    </x:row>
    <x:row r="43" ht="48" customHeight="1">
      <x:c r="A43" s="9" t="str">
        <x:v>IG077</x:v>
      </x:c>
      <x:c r="B43" s="19" t="str">
        <x:v>인스타그램</x:v>
      </x:c>
      <x:c r="C43" s="9" t="str">
        <x:v>_light_east</x:v>
      </x:c>
      <x:c r="D43" s="9" t="str">
        <x:v>질문</x:v>
      </x:c>
      <x:c r="E43" s="9" t="str">
        <x:v>식사·커피·회식 에피소드</x:v>
      </x:c>
      <x:c r="F43" s="10" t="str">
        <x:v>식사·커피·회식 에피소드</x:v>
      </x:c>
      <x:c r="G43" s="10" t="str">
        <x:v>회식 에피소드 궁금해요</x:v>
      </x:c>
      <x:c r="H43" s="9" t="str">
        <x:v>2주</x:v>
      </x:c>
      <x:c r="I43" s="9" t="d">
        <x:v>2026-09-23T03:30:04.000Z</x:v>
      </x:c>
      <x:c r="J43" s="9" t="e">
        <x:f>HYPERLINK("captures/instagram/077__light_east.jpg","이미지 열기")</x:f>
        <x:v>HYPERLINK is not implemented. linkLocation=captures/instagram/077__light_east.jpg, friendlyName=이미지 열기</x:v>
      </x:c>
      <x:c r="K43" s="9" t="e">
        <x:f>HYPERLINK("https://www.instagram.com/p/Ddm14-HgGpL/c/18100241615374571/","원문 열기")</x:f>
        <x:v>HYPERLINK is not implemented. linkLocation=https://www.instagram.com/p/Ddm14-HgGpL/c/18100241615374571/, friendlyName=원문 열기</x:v>
      </x:c>
      <x:c r="L43" s="9" t="n">
        <x:v>77</x:v>
      </x:c>
      <x:c r="M43" s="9" t="str">
        <x:v>18100241615374571</x:v>
      </x:c>
    </x:row>
    <x:row r="44" ht="48" customHeight="1">
      <x:c r="A44" s="9" t="str">
        <x:v>IG079</x:v>
      </x:c>
      <x:c r="B44" s="19" t="str">
        <x:v>인스타그램</x:v>
      </x:c>
      <x:c r="C44" s="9" t="str">
        <x:v>rudals_213</x:v>
      </x:c>
      <x:c r="D44" s="9" t="str">
        <x:v>질문</x:v>
      </x:c>
      <x:c r="E44" s="9" t="str">
        <x:v>팀 결성·개발 시작 계기</x:v>
      </x:c>
      <x:c r="F44" s="10" t="str">
        <x:v>팀 결성·개발 시작 계기</x:v>
      </x:c>
      <x:c r="G44" s="10" t="str">
        <x:v>두분 어떻게 만나셨는지가 궁금합니다</x:v>
      </x:c>
      <x:c r="H44" s="9" t="str">
        <x:v>2주</x:v>
      </x:c>
      <x:c r="I44" s="9" t="d">
        <x:v>2026-09-23T06:52:25.000Z</x:v>
      </x:c>
      <x:c r="J44" s="9" t="e">
        <x:f>HYPERLINK("captures/instagram/079_rudals_213.jpg","이미지 열기")</x:f>
        <x:v>HYPERLINK is not implemented. linkLocation=captures/instagram/079_rudals_213.jpg, friendlyName=이미지 열기</x:v>
      </x:c>
      <x:c r="K44" s="9" t="e">
        <x:f>HYPERLINK("https://www.instagram.com/p/Ddm14-HgGpL/c/17931261021404669/","원문 열기")</x:f>
        <x:v>HYPERLINK is not implemented. linkLocation=https://www.instagram.com/p/Ddm14-HgGpL/c/17931261021404669/, friendlyName=원문 열기</x:v>
      </x:c>
      <x:c r="L44" s="9" t="n">
        <x:v>79</x:v>
      </x:c>
      <x:c r="M44" s="9" t="str">
        <x:v>17931261021404669</x:v>
      </x:c>
    </x:row>
    <x:row r="45" ht="48" customHeight="1">
      <x:c r="A45" s="9" t="str">
        <x:v>IG081</x:v>
      </x:c>
      <x:c r="B45" s="19" t="str">
        <x:v>인스타그램</x:v>
      </x:c>
      <x:c r="C45" s="9" t="str">
        <x:v>hannie._.b2n</x:v>
      </x:c>
      <x:c r="D45" s="9" t="str">
        <x:v>질문</x:v>
      </x:c>
      <x:c r="E45" s="9" t="str">
        <x:v>팀 결성·개발 시작 계기</x:v>
      </x:c>
      <x:c r="F45" s="10" t="str">
        <x:v>팀 결성·개발 시작 계기</x:v>
      </x:c>
      <x:c r="G45" s="10" t="str">
        <x:v>개발자님 팬인데 어떤 계기로 게임개발을 시작하게 됐는지 궁금합니다. 그리고 누구 마음대로 그렇게 귀여운지 이유를 묻고 싶습니다.🫰🏻</x:v>
      </x:c>
      <x:c r="H45" s="9" t="str">
        <x:v>2주</x:v>
      </x:c>
      <x:c r="I45" s="9" t="d">
        <x:v>2026-09-23T02:43:54.000Z</x:v>
      </x:c>
      <x:c r="J45" s="9" t="e">
        <x:f>HYPERLINK("captures/instagram/081_hannie._.b2n.jpg","이미지 열기")</x:f>
        <x:v>HYPERLINK is not implemented. linkLocation=captures/instagram/081_hannie._.b2n.jpg, friendlyName=이미지 열기</x:v>
      </x:c>
      <x:c r="K45" s="9" t="e">
        <x:f>HYPERLINK("https://www.instagram.com/p/Ddm14-HgGpL/c/18067071827509639/","원문 열기")</x:f>
        <x:v>HYPERLINK is not implemented. linkLocation=https://www.instagram.com/p/Ddm14-HgGpL/c/18067071827509639/, friendlyName=원문 열기</x:v>
      </x:c>
      <x:c r="L45" s="9" t="n">
        <x:v>81</x:v>
      </x:c>
      <x:c r="M45" s="9" t="str">
        <x:v>18067071827509639</x:v>
      </x:c>
    </x:row>
    <x:row r="46" ht="48" customHeight="1">
      <x:c r="A46" s="9" t="str">
        <x:v>IG083</x:v>
      </x:c>
      <x:c r="B46" s="19" t="str">
        <x:v>인스타그램</x:v>
      </x:c>
      <x:c r="C46" s="9" t="str">
        <x:v>u_ni__05</x:v>
      </x:c>
      <x:c r="D46" s="9" t="str">
        <x:v>반응·응원</x:v>
      </x:c>
      <x:c r="E46" s="9" t="str">
        <x:v>응원·시청 반응</x:v>
      </x:c>
      <x:c r="F46" s="10" t="str">
        <x:v>응원·시청 반응</x:v>
      </x:c>
      <x:c r="G46" s="10" t="str">
        <x:v>유튜브에 게임올라간거 봤어요!!</x:v>
      </x:c>
      <x:c r="H46" s="9" t="str">
        <x:v>1주</x:v>
      </x:c>
      <x:c r="I46" s="9" t="d">
        <x:v>2026-09-26T02:25:46.000Z</x:v>
      </x:c>
      <x:c r="J46" s="9" t="e">
        <x:f>HYPERLINK("captures/instagram/083_u_ni__05.jpg","이미지 열기")</x:f>
        <x:v>HYPERLINK is not implemented. linkLocation=captures/instagram/083_u_ni__05.jpg, friendlyName=이미지 열기</x:v>
      </x:c>
      <x:c r="K46" s="9" t="e">
        <x:f>HYPERLINK("https://www.instagram.com/p/Ddm14-HgGpL/c/18130865146670444/","원문 열기")</x:f>
        <x:v>HYPERLINK is not implemented. linkLocation=https://www.instagram.com/p/Ddm14-HgGpL/c/18130865146670444/, friendlyName=원문 열기</x:v>
      </x:c>
      <x:c r="L46" s="9" t="n">
        <x:v>83</x:v>
      </x:c>
      <x:c r="M46" s="9" t="str">
        <x:v>18130865146670444</x:v>
      </x:c>
    </x:row>
    <x:row r="47" ht="48" customHeight="1">
      <x:c r="A47" s="9" t="str">
        <x:v>IG085</x:v>
      </x:c>
      <x:c r="B47" s="19" t="str">
        <x:v>인스타그램</x:v>
      </x:c>
      <x:c r="C47" s="9" t="str">
        <x:v>u_ni__05</x:v>
      </x:c>
      <x:c r="D47" s="9" t="str">
        <x:v>질문</x:v>
      </x:c>
      <x:c r="E47" s="9" t="str">
        <x:v>캐릭터 설정·외형 모티브</x:v>
      </x:c>
      <x:c r="F47" s="10" t="str">
        <x:v>캐릭터 설정·외형 모티브</x:v>
      </x:c>
      <x:c r="G47" s="10" t="str">
        <x:v>님들 자캐 캐디 모티브가 뭔가요?</x:v>
      </x:c>
      <x:c r="H47" s="9" t="str">
        <x:v>2주</x:v>
      </x:c>
      <x:c r="I47" s="9" t="d">
        <x:v>2026-09-23T02:11:59.000Z</x:v>
      </x:c>
      <x:c r="J47" s="9" t="e">
        <x:f>HYPERLINK("captures/instagram/085_u_ni__05.jpg","이미지 열기")</x:f>
        <x:v>HYPERLINK is not implemented. linkLocation=captures/instagram/085_u_ni__05.jpg, friendlyName=이미지 열기</x:v>
      </x:c>
      <x:c r="K47" s="9" t="e">
        <x:f>HYPERLINK("https://www.instagram.com/p/Ddm14-HgGpL/c/17943992478338447/","원문 열기")</x:f>
        <x:v>HYPERLINK is not implemented. linkLocation=https://www.instagram.com/p/Ddm14-HgGpL/c/17943992478338447/, friendlyName=원문 열기</x:v>
      </x:c>
      <x:c r="L47" s="9" t="n">
        <x:v>85</x:v>
      </x:c>
      <x:c r="M47" s="9" t="str">
        <x:v>17943992478338447</x:v>
      </x:c>
    </x:row>
    <x:row r="48" ht="48" customHeight="1">
      <x:c r="A48" s="9" t="str">
        <x:v>IG087</x:v>
      </x:c>
      <x:c r="B48" s="19" t="str">
        <x:v>인스타그램</x:v>
      </x:c>
      <x:c r="C48" s="9" t="str">
        <x:v>fal_programmimg</x:v>
      </x:c>
      <x:c r="D48" s="9" t="str">
        <x:v>질문</x:v>
      </x:c>
      <x:c r="E48" s="9" t="str">
        <x:v>팀원·음악 인력 모집</x:v>
      </x:c>
      <x:c r="F48" s="10" t="str">
        <x:v>팀원·음악 인력 모집</x:v>
      </x:c>
      <x:c r="G48" s="10" t="str">
        <x:v>팀원 추가 모집 의향은 없으시겠죠?</x:v>
      </x:c>
      <x:c r="H48" s="9" t="str">
        <x:v>2주</x:v>
      </x:c>
      <x:c r="I48" s="9" t="d">
        <x:v>2026-09-22T23:27:44.000Z</x:v>
      </x:c>
      <x:c r="J48" s="9" t="e">
        <x:f>HYPERLINK("captures/instagram/087_fal_programmimg.jpg","이미지 열기")</x:f>
        <x:v>HYPERLINK is not implemented. linkLocation=captures/instagram/087_fal_programmimg.jpg, friendlyName=이미지 열기</x:v>
      </x:c>
      <x:c r="K48" s="9" t="e">
        <x:f>HYPERLINK("https://www.instagram.com/p/Ddm14-HgGpL/c/18131557471678405/","원문 열기")</x:f>
        <x:v>HYPERLINK is not implemented. linkLocation=https://www.instagram.com/p/Ddm14-HgGpL/c/18131557471678405/, friendlyName=원문 열기</x:v>
      </x:c>
      <x:c r="L48" s="9" t="n">
        <x:v>87</x:v>
      </x:c>
      <x:c r="M48" s="9" t="str">
        <x:v>18131557471678405</x:v>
      </x:c>
    </x:row>
    <x:row r="49" ht="48" customHeight="1">
      <x:c r="A49" s="9" t="str">
        <x:v>IG089</x:v>
      </x:c>
      <x:c r="B49" s="19" t="str">
        <x:v>인스타그램</x:v>
      </x:c>
      <x:c r="C49" s="9" t="str">
        <x:v>knoahwww</x:v>
      </x:c>
      <x:c r="D49" s="9" t="str">
        <x:v>질문</x:v>
      </x:c>
      <x:c r="E49" s="9" t="str">
        <x:v>일상·운동·장난 질문</x:v>
      </x:c>
      <x:c r="F49" s="10" t="str">
        <x:v>일상·운동·장난 질문</x:v>
      </x:c>
      <x:c r="G49" s="10" t="str">
        <x:v>3대 몇 치세요?</x:v>
      </x:c>
      <x:c r="H49" s="9" t="str">
        <x:v>2주</x:v>
      </x:c>
      <x:c r="I49" s="9" t="d">
        <x:v>2026-09-23T00:00:15.000Z</x:v>
      </x:c>
      <x:c r="J49" s="9" t="e">
        <x:f>HYPERLINK("captures/instagram/089_knoahwww.jpg","이미지 열기")</x:f>
        <x:v>HYPERLINK is not implemented. linkLocation=captures/instagram/089_knoahwww.jpg, friendlyName=이미지 열기</x:v>
      </x:c>
      <x:c r="K49" s="9" t="e">
        <x:f>HYPERLINK("https://www.instagram.com/p/Ddm14-HgGpL/c/18135488239712504/","원문 열기")</x:f>
        <x:v>HYPERLINK is not implemented. linkLocation=https://www.instagram.com/p/Ddm14-HgGpL/c/18135488239712504/, friendlyName=원문 열기</x:v>
      </x:c>
      <x:c r="L49" s="9" t="n">
        <x:v>89</x:v>
      </x:c>
      <x:c r="M49" s="9" t="str">
        <x:v>18135488239712504</x:v>
      </x:c>
    </x:row>
    <x:row r="50" ht="48" customHeight="1">
      <x:c r="A50" s="9" t="str">
        <x:v>IG091</x:v>
      </x:c>
      <x:c r="B50" s="19" t="str">
        <x:v>인스타그램</x:v>
      </x:c>
      <x:c r="C50" s="9" t="str">
        <x:v>jason0289</x:v>
      </x:c>
      <x:c r="D50" s="9" t="str">
        <x:v>질문</x:v>
      </x:c>
      <x:c r="E50" s="9" t="str">
        <x:v>팀원·음악 인력 모집</x:v>
      </x:c>
      <x:c r="F50" s="10" t="str">
        <x:v>팀원·음악 인력 모집</x:v>
      </x:c>
      <x:c r="G50" s="10" t="str">
        <x:v>뉴페이스는 언제쯤 등장하나요?</x:v>
      </x:c>
      <x:c r="H50" s="9" t="str">
        <x:v>2주</x:v>
      </x:c>
      <x:c r="I50" s="9" t="d">
        <x:v>2026-09-22T23:28:23.000Z</x:v>
      </x:c>
      <x:c r="J50" s="9" t="e">
        <x:f>HYPERLINK("captures/instagram/091_jason0289.jpg","이미지 열기")</x:f>
        <x:v>HYPERLINK is not implemented. linkLocation=captures/instagram/091_jason0289.jpg, friendlyName=이미지 열기</x:v>
      </x:c>
      <x:c r="K50" s="9" t="e">
        <x:f>HYPERLINK("https://www.instagram.com/p/Ddm14-HgGpL/c/18083429411330593/","원문 열기")</x:f>
        <x:v>HYPERLINK is not implemented. linkLocation=https://www.instagram.com/p/Ddm14-HgGpL/c/18083429411330593/, friendlyName=원문 열기</x:v>
      </x:c>
      <x:c r="L50" s="9" t="n">
        <x:v>91</x:v>
      </x:c>
      <x:c r="M50" s="9" t="str">
        <x:v>18083429411330593</x:v>
      </x:c>
    </x:row>
    <x:row r="51" ht="48" customHeight="1">
      <x:c r="A51" s="9" t="str">
        <x:v>IG093</x:v>
      </x:c>
      <x:c r="B51" s="19" t="str">
        <x:v>인스타그램</x:v>
      </x:c>
      <x:c r="C51" s="9" t="str">
        <x:v>oh_dae_in</x:v>
      </x:c>
      <x:c r="D51" s="9" t="str">
        <x:v>질문</x:v>
      </x:c>
      <x:c r="E51" s="9" t="str">
        <x:v>캐릭터 설정·외형 모티브</x:v>
      </x:c>
      <x:c r="F51" s="10" t="str">
        <x:v>캐릭터 설정·외형 모티브</x:v>
      </x:c>
      <x:c r="G51" s="10" t="str">
        <x:v>캐릭터들이 한명은 뿔 달고, 한명은 버섯모자 쓰고있는데, 이유가 궁금하네요</x:v>
      </x:c>
      <x:c r="H51" s="9" t="str">
        <x:v>2주</x:v>
      </x:c>
      <x:c r="I51" s="9" t="d">
        <x:v>2026-09-22T23:38:31.000Z</x:v>
      </x:c>
      <x:c r="J51" s="9" t="e">
        <x:f>HYPERLINK("captures/instagram/093_oh_dae_in.jpg","이미지 열기")</x:f>
        <x:v>HYPERLINK is not implemented. linkLocation=captures/instagram/093_oh_dae_in.jpg, friendlyName=이미지 열기</x:v>
      </x:c>
      <x:c r="K51" s="9" t="e">
        <x:f>HYPERLINK("https://www.instagram.com/p/Ddm14-HgGpL/c/17967224217193639/","원문 열기")</x:f>
        <x:v>HYPERLINK is not implemented. linkLocation=https://www.instagram.com/p/Ddm14-HgGpL/c/17967224217193639/, friendlyName=원문 열기</x:v>
      </x:c>
      <x:c r="L51" s="9" t="n">
        <x:v>93</x:v>
      </x:c>
      <x:c r="M51" s="9" t="str">
        <x:v>17967224217193639</x:v>
      </x:c>
    </x:row>
    <x:row r="52" ht="48" customHeight="1">
      <x:c r="A52" s="9" t="str">
        <x:v>IG095</x:v>
      </x:c>
      <x:c r="B52" s="19" t="str">
        <x:v>인스타그램</x:v>
      </x:c>
      <x:c r="C52" s="9" t="str">
        <x:v>drizzle_dev_art</x:v>
      </x:c>
      <x:c r="D52" s="9" t="str">
        <x:v>질문</x:v>
      </x:c>
      <x:c r="E52" s="9" t="str">
        <x:v>게임 소개·장르·기획 방향</x:v>
      </x:c>
      <x:c r="F52" s="10" t="str">
        <x:v>게임 소개·장르·기획 방향 / 출시·공개·얼리액세스</x:v>
      </x:c>
      <x:c r="G52" s="10" t="str">
        <x:v>뭘 만드는거에요??? 언제 공개해요?</x:v>
      </x:c>
      <x:c r="H52" s="9" t="str">
        <x:v>2주</x:v>
      </x:c>
      <x:c r="I52" s="9" t="d">
        <x:v>2026-09-22T23:34:22.000Z</x:v>
      </x:c>
      <x:c r="J52" s="9" t="e">
        <x:f>HYPERLINK("captures/instagram/095_drizzle_dev_art.jpg","이미지 열기")</x:f>
        <x:v>HYPERLINK is not implemented. linkLocation=captures/instagram/095_drizzle_dev_art.jpg, friendlyName=이미지 열기</x:v>
      </x:c>
      <x:c r="K52" s="9" t="e">
        <x:f>HYPERLINK("https://www.instagram.com/p/Ddm14-HgGpL/c/17875138425633082/","원문 열기")</x:f>
        <x:v>HYPERLINK is not implemented. linkLocation=https://www.instagram.com/p/Ddm14-HgGpL/c/17875138425633082/, friendlyName=원문 열기</x:v>
      </x:c>
      <x:c r="L52" s="9" t="n">
        <x:v>95</x:v>
      </x:c>
      <x:c r="M52" s="9" t="str">
        <x:v>17875138425633082</x:v>
      </x:c>
    </x:row>
    <x:row r="53" ht="48" customHeight="1">
      <x:c r="A53" s="9" t="str">
        <x:v>IG097</x:v>
      </x:c>
      <x:c r="B53" s="19" t="str">
        <x:v>인스타그램</x:v>
      </x:c>
      <x:c r="C53" s="9" t="str">
        <x:v>hyuckoh</x:v>
      </x:c>
      <x:c r="D53" s="9" t="str">
        <x:v>질문</x:v>
      </x:c>
      <x:c r="E53" s="9" t="str">
        <x:v>식사·커피·회식 에피소드</x:v>
      </x:c>
      <x:c r="F53" s="10" t="str">
        <x:v>식사·커피·회식 에피소드</x:v>
      </x:c>
      <x:c r="G53" s="10" t="str">
        <x:v>점심은 어떻게 드세요? 관련해서 재미있는 에피소드 알려주세요!🤭</x:v>
      </x:c>
      <x:c r="H53" s="9" t="str">
        <x:v>2주</x:v>
      </x:c>
      <x:c r="I53" s="9" t="d">
        <x:v>2026-09-22T23:43:50.000Z</x:v>
      </x:c>
      <x:c r="J53" s="9" t="e">
        <x:f>HYPERLINK("captures/instagram/097_hyuckoh.jpg","이미지 열기")</x:f>
        <x:v>HYPERLINK is not implemented. linkLocation=captures/instagram/097_hyuckoh.jpg, friendlyName=이미지 열기</x:v>
      </x:c>
      <x:c r="K53" s="9" t="e">
        <x:f>HYPERLINK("https://www.instagram.com/p/Ddm14-HgGpL/c/18121079350909530/","원문 열기")</x:f>
        <x:v>HYPERLINK is not implemented. linkLocation=https://www.instagram.com/p/Ddm14-HgGpL/c/18121079350909530/, friendlyName=원문 열기</x:v>
      </x:c>
      <x:c r="L53" s="9" t="n">
        <x:v>97</x:v>
      </x:c>
      <x:c r="M53" s="9" t="str">
        <x:v>18121079350909530</x:v>
      </x:c>
    </x:row>
    <x:row r="54" ht="48" customHeight="1">
      <x:c r="A54" s="9" t="str">
        <x:v>IG099</x:v>
      </x:c>
      <x:c r="B54" s="19" t="str">
        <x:v>인스타그램</x:v>
      </x:c>
      <x:c r="C54" s="9" t="str">
        <x:v>shindonghun70</x:v>
      </x:c>
      <x:c r="D54" s="9" t="str">
        <x:v>출시 요청</x:v>
      </x:c>
      <x:c r="E54" s="9" t="str">
        <x:v>출시·공개·얼리액세스</x:v>
      </x:c>
      <x:c r="F54" s="10" t="str">
        <x:v>출시·공개·얼리액세스</x:v>
      </x:c>
      <x:c r="G54" s="10" t="str">
        <x:v>얼액 내주세요</x:v>
      </x:c>
      <x:c r="H54" s="9" t="str">
        <x:v>2주</x:v>
      </x:c>
      <x:c r="I54" s="9" t="d">
        <x:v>2026-09-22T23:28:53.000Z</x:v>
      </x:c>
      <x:c r="J54" s="9" t="e">
        <x:f>HYPERLINK("captures/instagram/099_shindonghun70.jpg","이미지 열기")</x:f>
        <x:v>HYPERLINK is not implemented. linkLocation=captures/instagram/099_shindonghun70.jpg, friendlyName=이미지 열기</x:v>
      </x:c>
      <x:c r="K54" s="9" t="e">
        <x:f>HYPERLINK("https://www.instagram.com/p/Ddm14-HgGpL/c/17875521069632704/","원문 열기")</x:f>
        <x:v>HYPERLINK is not implemented. linkLocation=https://www.instagram.com/p/Ddm14-HgGpL/c/17875521069632704/, friendlyName=원문 열기</x:v>
      </x:c>
      <x:c r="L54" s="9" t="n">
        <x:v>99</x:v>
      </x:c>
      <x:c r="M54" s="9" t="str">
        <x:v>17875521069632704</x:v>
      </x:c>
    </x:row>
    <x:row r="55" ht="48" customHeight="1">
      <x:c r="A55" s="9" t="str">
        <x:v>IG101</x:v>
      </x:c>
      <x:c r="B55" s="19" t="str">
        <x:v>인스타그램</x:v>
      </x:c>
      <x:c r="C55" s="9" t="str">
        <x:v>cyan_0731</x:v>
      </x:c>
      <x:c r="D55" s="9" t="str">
        <x:v>질문</x:v>
      </x:c>
      <x:c r="E55" s="9" t="str">
        <x:v>협업·의견 충돌 해결</x:v>
      </x:c>
      <x:c r="F55" s="10" t="str">
        <x:v>협업·의견 충돌 해결</x:v>
      </x:c>
      <x:c r="G55" s="10" t="str">
        <x:v>게임을 만들면서 서로의 의견이 맞지 않아서 다투는 경우도 있었을 텐데 그럴 경우 어떻게 해결했나요?</x:v>
      </x:c>
      <x:c r="H55" s="9" t="str">
        <x:v>2주</x:v>
      </x:c>
      <x:c r="I55" s="9" t="d">
        <x:v>2026-09-23T00:02:16.000Z</x:v>
      </x:c>
      <x:c r="J55" s="9" t="e">
        <x:f>HYPERLINK("captures/instagram/101_cyan_0731.jpg","이미지 열기")</x:f>
        <x:v>HYPERLINK is not implemented. linkLocation=captures/instagram/101_cyan_0731.jpg, friendlyName=이미지 열기</x:v>
      </x:c>
      <x:c r="K55" s="9" t="e">
        <x:f>HYPERLINK("https://www.instagram.com/p/Ddm14-HgGpL/c/18115993906990697/","원문 열기")</x:f>
        <x:v>HYPERLINK is not implemented. linkLocation=https://www.instagram.com/p/Ddm14-HgGpL/c/18115993906990697/, friendlyName=원문 열기</x:v>
      </x:c>
      <x:c r="L55" s="9" t="n">
        <x:v>101</x:v>
      </x:c>
      <x:c r="M55" s="9" t="str">
        <x:v>18115993906990697</x:v>
      </x:c>
    </x:row>
    <x:row r="56" ht="48" customHeight="1">
      <x:c r="A56" s="9" t="str">
        <x:v>IG103</x:v>
      </x:c>
      <x:c r="B56" s="19" t="str">
        <x:v>인스타그램</x:v>
      </x:c>
      <x:c r="C56" s="9" t="str">
        <x:v>anybody_293</x:v>
      </x:c>
      <x:c r="D56" s="9" t="str">
        <x:v>질문</x:v>
      </x:c>
      <x:c r="E56" s="9" t="str">
        <x:v>게임 소개·장르·기획 방향</x:v>
      </x:c>
      <x:c r="F56" s="10" t="str">
        <x:v>게임 소개·장르·기획 방향 / 출시·공개·얼리액세스</x:v>
      </x:c>
      <x:c r="G56" s="10" t="str">
        <x:v>질문: 어떤게임인지 언제 발매예정인지 소개해주세요</x:v>
      </x:c>
      <x:c r="H56" s="9" t="str">
        <x:v>2주</x:v>
      </x:c>
      <x:c r="I56" s="9" t="d">
        <x:v>2026-09-22T23:14:32.000Z</x:v>
      </x:c>
      <x:c r="J56" s="9" t="e">
        <x:f>HYPERLINK("captures/instagram/103_anybody_293.jpg","이미지 열기")</x:f>
        <x:v>HYPERLINK is not implemented. linkLocation=captures/instagram/103_anybody_293.jpg, friendlyName=이미지 열기</x:v>
      </x:c>
      <x:c r="K56" s="9" t="e">
        <x:f>HYPERLINK("https://www.instagram.com/p/Ddm14-HgGpL/c/17959662981213402/","원문 열기")</x:f>
        <x:v>HYPERLINK is not implemented. linkLocation=https://www.instagram.com/p/Ddm14-HgGpL/c/17959662981213402/, friendlyName=원문 열기</x:v>
      </x:c>
      <x:c r="L56" s="9" t="n">
        <x:v>103</x:v>
      </x:c>
      <x:c r="M56" s="9" t="str">
        <x:v>17959662981213402</x:v>
      </x:c>
    </x:row>
    <x:row r="57" ht="48" customHeight="1">
      <x:c r="A57" s="9" t="str">
        <x:v>IG105</x:v>
      </x:c>
      <x:c r="B57" s="19" t="str">
        <x:v>인스타그램</x:v>
      </x:c>
      <x:c r="C57" s="9" t="str">
        <x:v>ed_en_2415</x:v>
      </x:c>
      <x:c r="D57" s="9" t="str">
        <x:v>질문</x:v>
      </x:c>
      <x:c r="E57" s="9" t="str">
        <x:v>좋아하는 게임·주력 장르</x:v>
      </x:c>
      <x:c r="F57" s="10" t="str">
        <x:v>좋아하는 게임·주력 장르</x:v>
      </x:c>
      <x:c r="G57" s="10" t="str">
        <x:v>두분다 지구상에 게임중 단 하나만 보존 할 수 있다면 어떤 게임을?</x:v>
      </x:c>
      <x:c r="H57" s="9" t="str">
        <x:v>2주</x:v>
      </x:c>
      <x:c r="I57" s="9" t="d">
        <x:v>2026-09-23T04:58:47.000Z</x:v>
      </x:c>
      <x:c r="J57" s="9" t="e">
        <x:f>HYPERLINK("captures/instagram/105_ed_en_2415.jpg","이미지 열기")</x:f>
        <x:v>HYPERLINK is not implemented. linkLocation=captures/instagram/105_ed_en_2415.jpg, friendlyName=이미지 열기</x:v>
      </x:c>
      <x:c r="K57" s="9" t="e">
        <x:f>HYPERLINK("https://www.instagram.com/p/Ddm14-HgGpL/c/18117898939822030/","원문 열기")</x:f>
        <x:v>HYPERLINK is not implemented. linkLocation=https://www.instagram.com/p/Ddm14-HgGpL/c/18117898939822030/, friendlyName=원문 열기</x:v>
      </x:c>
      <x:c r="L57" s="9" t="n">
        <x:v>105</x:v>
      </x:c>
      <x:c r="M57" s="9" t="str">
        <x:v>18117898939822030</x:v>
      </x:c>
    </x:row>
    <x:row r="58" ht="48" customHeight="1">
      <x:c r="A58" s="9" t="str">
        <x:v>IG106</x:v>
      </x:c>
      <x:c r="B58" s="19" t="str">
        <x:v>인스타그램</x:v>
      </x:c>
      <x:c r="C58" s="9" t="str">
        <x:v>thenameof_minumunu</x:v>
      </x:c>
      <x:c r="D58" s="9" t="str">
        <x:v>반응·응원</x:v>
      </x:c>
      <x:c r="E58" s="9" t="str">
        <x:v>응원·시청 반응</x:v>
      </x:c>
      <x:c r="F58" s="10" t="str">
        <x:v>응원·시청 반응</x:v>
      </x:c>
      <x:c r="G58" s="10" t="str">
        <x:v>항상 응원함니다 화이팅ヾ(๑╹◡╹)ﾉ"</x:v>
      </x:c>
      <x:c r="H58" s="9" t="str">
        <x:v>2주</x:v>
      </x:c>
      <x:c r="I58" s="9" t="d">
        <x:v>2026-09-22T23:11:44.000Z</x:v>
      </x:c>
      <x:c r="J58" s="9" t="e">
        <x:f>HYPERLINK("captures/instagram/106_thenameof_minumunu.jpg","이미지 열기")</x:f>
        <x:v>HYPERLINK is not implemented. linkLocation=captures/instagram/106_thenameof_minumunu.jpg, friendlyName=이미지 열기</x:v>
      </x:c>
      <x:c r="K58" s="9" t="e">
        <x:f>HYPERLINK("https://www.instagram.com/p/Ddm14-HgGpL/c/18122137397489712/","원문 열기")</x:f>
        <x:v>HYPERLINK is not implemented. linkLocation=https://www.instagram.com/p/Ddm14-HgGpL/c/18122137397489712/, friendlyName=원문 열기</x:v>
      </x:c>
      <x:c r="L58" s="9" t="n">
        <x:v>106</x:v>
      </x:c>
      <x:c r="M58" s="9" t="str">
        <x:v>18122137397489712</x:v>
      </x:c>
    </x:row>
    <x:row r="59" ht="48" customHeight="1">
      <x:c r="A59" s="9" t="str">
        <x:v>YT001</x:v>
      </x:c>
      <x:c r="B59" s="20" t="str">
        <x:v>유튜브</x:v>
      </x:c>
      <x:c r="C59" s="9" t="str">
        <x:v>@라온-y5y</x:v>
      </x:c>
      <x:c r="D59" s="9" t="str">
        <x:v>질문</x:v>
      </x:c>
      <x:c r="E59" s="9" t="str">
        <x:v>팀 결성·개발 시작 계기</x:v>
      </x:c>
      <x:c r="F59" s="10" t="str">
        <x:v>팀 결성·개발 시작 계기</x:v>
      </x:c>
      <x:c r="G59" s="10" t="str">
        <x:v>궁금한 점 1. 두 분의 관계? (친구 or 사장과 직원 이런거) 궁금한 점 2. 두 분이서만 따로 나와서 개발을 하게된 계기?</x:v>
      </x:c>
      <x:c r="H59" s="9" t="str">
        <x:v>6일 전</x:v>
      </x:c>
      <x:c r="I59" s="9" t="str"/>
      <x:c r="J59" s="9" t="e">
        <x:f>HYPERLINK("captures/youtube/YT001.png","이미지 열기")</x:f>
        <x:v>HYPERLINK is not implemented. linkLocation=captures/youtube/YT001.png, friendlyName=이미지 열기</x:v>
      </x:c>
      <x:c r="K59" s="9" t="e">
        <x:f>HYPERLINK("https://www.youtube.com/post/UgkxaK_KVWEFqHAoOod4zs21zhC7nG8CFhne?lc=UgyEs5VpBzFLtNd35Nl4AaABAg","원문 열기")</x:f>
        <x:v>HYPERLINK is not implemented. linkLocation=https://www.youtube.com/post/UgkxaK_KVWEFqHAoOod4zs21zhC7nG8CFhne?lc=UgyEs5VpBzFLtNd35Nl4AaABAg, friendlyName=원문 열기</x:v>
      </x:c>
      <x:c r="L59" s="9" t="n">
        <x:v>1</x:v>
      </x:c>
      <x:c r="M59" s="9" t="str">
        <x:v>UgyEs5VpBzFLtNd35Nl4AaABAg</x:v>
      </x:c>
    </x:row>
    <x:row r="60" ht="48" customHeight="1">
      <x:c r="A60" s="9" t="str">
        <x:v>YT002</x:v>
      </x:c>
      <x:c r="B60" s="20" t="str">
        <x:v>유튜브</x:v>
      </x:c>
      <x:c r="C60" s="9" t="str">
        <x:v>@씹노예</x:v>
      </x:c>
      <x:c r="D60" s="9" t="str">
        <x:v>질문</x:v>
      </x:c>
      <x:c r="E60" s="9" t="str">
        <x:v>팀 결성·개발 시작 계기</x:v>
      </x:c>
      <x:c r="F60" s="10" t="str">
        <x:v>팀 결성·개발 시작 계기</x:v>
      </x:c>
      <x:c r="G60" s="10" t="str">
        <x:v>두분 어떻게 만나신건지, 그리고 함께 인디게임 팀을 만들기로 하신 계기와 과정이 궁금합니다!</x:v>
      </x:c>
      <x:c r="H60" s="9" t="str">
        <x:v>2주 전</x:v>
      </x:c>
      <x:c r="I60" s="9" t="str"/>
      <x:c r="J60" s="9" t="e">
        <x:f>HYPERLINK("captures/youtube/YT002.png","이미지 열기")</x:f>
        <x:v>HYPERLINK is not implemented. linkLocation=captures/youtube/YT002.png, friendlyName=이미지 열기</x:v>
      </x:c>
      <x:c r="K60" s="9" t="e">
        <x:f>HYPERLINK("https://www.youtube.com/post/UgkxaK_KVWEFqHAoOod4zs21zhC7nG8CFhne?lc=Ugw4cRitoolwx7bUx0x4AaABAg","원문 열기")</x:f>
        <x:v>HYPERLINK is not implemented. linkLocation=https://www.youtube.com/post/UgkxaK_KVWEFqHAoOod4zs21zhC7nG8CFhne?lc=Ugw4cRitoolwx7bUx0x4AaABAg, friendlyName=원문 열기</x:v>
      </x:c>
      <x:c r="L60" s="9" t="n">
        <x:v>2</x:v>
      </x:c>
      <x:c r="M60" s="9" t="str">
        <x:v>Ugw4cRitoolwx7bUx0x4AaABAg</x:v>
      </x:c>
    </x:row>
    <x:row r="61" ht="48" customHeight="1">
      <x:c r="A61" s="9" t="str">
        <x:v>YT003</x:v>
      </x:c>
      <x:c r="B61" s="20" t="str">
        <x:v>유튜브</x:v>
      </x:c>
      <x:c r="C61" s="9" t="str">
        <x:v>@Ping_26-y5f</x:v>
      </x:c>
      <x:c r="D61" s="9" t="str">
        <x:v>질문</x:v>
      </x:c>
      <x:c r="E61" s="9" t="str">
        <x:v>팀 결성·개발 시작 계기</x:v>
      </x:c>
      <x:c r="F61" s="10" t="str">
        <x:v>팀 결성·개발 시작 계기</x:v>
      </x:c>
      <x:c r="G61" s="10" t="str">
        <x:v>원래부터 게임을 만드시다가(게임회사를 재직하다가) 두분이 따로 나와서 만들기 시작하신건가요?</x:v>
      </x:c>
      <x:c r="H61" s="9" t="str">
        <x:v>2주 전</x:v>
      </x:c>
      <x:c r="I61" s="9" t="str"/>
      <x:c r="J61" s="9" t="e">
        <x:f>HYPERLINK("captures/youtube/YT003.png","이미지 열기")</x:f>
        <x:v>HYPERLINK is not implemented. linkLocation=captures/youtube/YT003.png, friendlyName=이미지 열기</x:v>
      </x:c>
      <x:c r="K61" s="9" t="e">
        <x:f>HYPERLINK("https://www.youtube.com/post/UgkxaK_KVWEFqHAoOod4zs21zhC7nG8CFhne?lc=UgwUA06mQNa_equRVtx4AaABAg","원문 열기")</x:f>
        <x:v>HYPERLINK is not implemented. linkLocation=https://www.youtube.com/post/UgkxaK_KVWEFqHAoOod4zs21zhC7nG8CFhne?lc=UgwUA06mQNa_equRVtx4AaABAg, friendlyName=원문 열기</x:v>
      </x:c>
      <x:c r="L61" s="9" t="n">
        <x:v>3</x:v>
      </x:c>
      <x:c r="M61" s="9" t="str">
        <x:v>UgwUA06mQNa_equRVtx4AaABAg</x:v>
      </x:c>
    </x:row>
    <x:row r="62" ht="48" customHeight="1">
      <x:c r="A62" s="9" t="str">
        <x:v>YT004</x:v>
      </x:c>
      <x:c r="B62" s="20" t="str">
        <x:v>유튜브</x:v>
      </x:c>
      <x:c r="C62" s="9" t="str">
        <x:v>@너는지금쯤</x:v>
      </x:c>
      <x:c r="D62" s="9" t="str">
        <x:v>질문</x:v>
      </x:c>
      <x:c r="E62" s="9" t="str">
        <x:v>일상·운동·장난 질문</x:v>
      </x:c>
      <x:c r="F62" s="10" t="str">
        <x:v>일상·운동·장난 질문</x:v>
      </x:c>
      <x:c r="G62" s="10" t="str">
        <x:v>제가 목소리로 사람 외모 아주 잘 맞추는데 두 분 모두 절세미인으로 보입니다. 그래서 평균 몸무게는? 😁</x:v>
      </x:c>
      <x:c r="H62" s="9" t="str">
        <x:v>2주 전(수정됨)</x:v>
      </x:c>
      <x:c r="I62" s="9" t="str"/>
      <x:c r="J62" s="9" t="e">
        <x:f>HYPERLINK("captures/youtube/YT004.png","이미지 열기")</x:f>
        <x:v>HYPERLINK is not implemented. linkLocation=captures/youtube/YT004.png, friendlyName=이미지 열기</x:v>
      </x:c>
      <x:c r="K62" s="9" t="e">
        <x:f>HYPERLINK("https://www.youtube.com/post/UgkxaK_KVWEFqHAoOod4zs21zhC7nG8CFhne?lc=UgwPOCPFpF-fEbcjn1h4AaABAg","원문 열기")</x:f>
        <x:v>HYPERLINK is not implemented. linkLocation=https://www.youtube.com/post/UgkxaK_KVWEFqHAoOod4zs21zhC7nG8CFhne?lc=UgwPOCPFpF-fEbcjn1h4AaABAg, friendlyName=원문 열기</x:v>
      </x:c>
      <x:c r="L62" s="9" t="n">
        <x:v>4</x:v>
      </x:c>
      <x:c r="M62" s="9" t="str">
        <x:v>UgwPOCPFpF-fEbcjn1h4AaABAg</x:v>
      </x:c>
    </x:row>
    <x:row r="63" ht="48" customHeight="1">
      <x:c r="A63" s="9" t="str">
        <x:v>YT005</x:v>
      </x:c>
      <x:c r="B63" s="20" t="str">
        <x:v>유튜브</x:v>
      </x:c>
      <x:c r="C63" s="9" t="str">
        <x:v>@seamkimi5467</x:v>
      </x:c>
      <x:c r="D63" s="9" t="str">
        <x:v>질문</x:v>
      </x:c>
      <x:c r="E63" s="9" t="str">
        <x:v>개발 진행 상황·제작물 공개</x:v>
      </x:c>
      <x:c r="F63" s="10" t="str">
        <x:v>개발 진행 상황·제작물 공개 / 출시 플랫폼</x:v>
      </x:c>
      <x:c r="G63" s="10" t="str">
        <x:v>개발 진행 상황과 출시 플랫폼이 궁금합니다</x:v>
      </x:c>
      <x:c r="H63" s="9" t="str">
        <x:v>2주 전</x:v>
      </x:c>
      <x:c r="I63" s="9" t="str"/>
      <x:c r="J63" s="9" t="e">
        <x:f>HYPERLINK("captures/youtube/YT005.png","이미지 열기")</x:f>
        <x:v>HYPERLINK is not implemented. linkLocation=captures/youtube/YT005.png, friendlyName=이미지 열기</x:v>
      </x:c>
      <x:c r="K63" s="9" t="e">
        <x:f>HYPERLINK("https://www.youtube.com/post/UgkxaK_KVWEFqHAoOod4zs21zhC7nG8CFhne?lc=UgwYnD44Hk30Zz--Z9N4AaABAg","원문 열기")</x:f>
        <x:v>HYPERLINK is not implemented. linkLocation=https://www.youtube.com/post/UgkxaK_KVWEFqHAoOod4zs21zhC7nG8CFhne?lc=UgwYnD44Hk30Zz--Z9N4AaABAg, friendlyName=원문 열기</x:v>
      </x:c>
      <x:c r="L63" s="9" t="n">
        <x:v>5</x:v>
      </x:c>
      <x:c r="M63" s="9" t="str">
        <x:v>UgwYnD44Hk30Zz--Z9N4AaABAg</x:v>
      </x:c>
    </x:row>
    <x:row r="64" ht="48" customHeight="1">
      <x:c r="A64" s="9" t="str">
        <x:v>YT006</x:v>
      </x:c>
      <x:c r="B64" s="20" t="str">
        <x:v>유튜브</x:v>
      </x:c>
      <x:c r="C64" s="9" t="str">
        <x:v>@presidentork</x:v>
      </x:c>
      <x:c r="D64" s="9" t="str">
        <x:v>질문</x:v>
      </x:c>
      <x:c r="E64" s="9" t="str">
        <x:v>식사·커피·회식 에피소드</x:v>
      </x:c>
      <x:c r="F64" s="10" t="str">
        <x:v>식사·커피·회식 에피소드</x:v>
      </x:c>
      <x:c r="G64" s="10" t="str">
        <x:v>최애 커피 브랜드는 뭘까요? ㅋㅋㅋ</x:v>
      </x:c>
      <x:c r="H64" s="9" t="str">
        <x:v>2주 전</x:v>
      </x:c>
      <x:c r="I64" s="9" t="str"/>
      <x:c r="J64" s="9" t="e">
        <x:f>HYPERLINK("captures/youtube/YT006.png","이미지 열기")</x:f>
        <x:v>HYPERLINK is not implemented. linkLocation=captures/youtube/YT006.png, friendlyName=이미지 열기</x:v>
      </x:c>
      <x:c r="K64" s="9" t="e">
        <x:f>HYPERLINK("https://www.youtube.com/post/UgkxaK_KVWEFqHAoOod4zs21zhC7nG8CFhne?lc=UgyrUaY2R6B2HAcMXhl4AaABAg","원문 열기")</x:f>
        <x:v>HYPERLINK is not implemented. linkLocation=https://www.youtube.com/post/UgkxaK_KVWEFqHAoOod4zs21zhC7nG8CFhne?lc=UgyrUaY2R6B2HAcMXhl4AaABAg, friendlyName=원문 열기</x:v>
      </x:c>
      <x:c r="L64" s="9" t="n">
        <x:v>6</x:v>
      </x:c>
      <x:c r="M64" s="9" t="str">
        <x:v>UgyrUaY2R6B2HAcMXhl4AaABAg</x:v>
      </x:c>
    </x:row>
    <x:row r="65" ht="48" customHeight="1">
      <x:c r="A65" s="9" t="str">
        <x:v>YT007</x:v>
      </x:c>
      <x:c r="B65" s="20" t="str">
        <x:v>유튜브</x:v>
      </x:c>
      <x:c r="C65" s="9" t="str">
        <x:v>@gkals2422</x:v>
      </x:c>
      <x:c r="D65" s="9" t="str">
        <x:v>질문</x:v>
      </x:c>
      <x:c r="E65" s="9" t="str">
        <x:v>개발 진행 상황·제작물 공개</x:v>
      </x:c>
      <x:c r="F65" s="10" t="str">
        <x:v>개발 진행 상황·제작물 공개</x:v>
      </x:c>
      <x:c r="G65" s="10" t="str">
        <x:v>결과물이나 제작 과정중 일부를 공개할 생각은 없으신가요? 제작물은 올리신 적이 없으셔서 궁금해요!</x:v>
      </x:c>
      <x:c r="H65" s="9" t="str">
        <x:v>2주 전</x:v>
      </x:c>
      <x:c r="I65" s="9" t="str"/>
      <x:c r="J65" s="9" t="e">
        <x:f>HYPERLINK("captures/youtube/YT007.png","이미지 열기")</x:f>
        <x:v>HYPERLINK is not implemented. linkLocation=captures/youtube/YT007.png, friendlyName=이미지 열기</x:v>
      </x:c>
      <x:c r="K65" s="9" t="e">
        <x:f>HYPERLINK("https://www.youtube.com/post/UgkxaK_KVWEFqHAoOod4zs21zhC7nG8CFhne?lc=UgwonsRXgGcSp1SYpb94AaABAg","원문 열기")</x:f>
        <x:v>HYPERLINK is not implemented. linkLocation=https://www.youtube.com/post/UgkxaK_KVWEFqHAoOod4zs21zhC7nG8CFhne?lc=UgwonsRXgGcSp1SYpb94AaABAg, friendlyName=원문 열기</x:v>
      </x:c>
      <x:c r="L65" s="9" t="n">
        <x:v>7</x:v>
      </x:c>
      <x:c r="M65" s="9" t="str">
        <x:v>UgwonsRXgGcSp1SYpb94AaABAg</x:v>
      </x:c>
    </x:row>
    <x:row r="66" ht="48" customHeight="1">
      <x:c r="A66" s="9" t="str">
        <x:v>YT008</x:v>
      </x:c>
      <x:c r="B66" s="20" t="str">
        <x:v>유튜브</x:v>
      </x:c>
      <x:c r="C66" s="9" t="str">
        <x:v>@user-mo3bk6wv6l</x:v>
      </x:c>
      <x:c r="D66" s="9" t="str">
        <x:v>질문</x:v>
      </x:c>
      <x:c r="E66" s="9" t="str">
        <x:v>캐릭터 설정·외형 모티브</x:v>
      </x:c>
      <x:c r="F66" s="10" t="str">
        <x:v>캐릭터 설정·외형 모티브</x:v>
      </x:c>
      <x:c r="G66" s="10" t="str">
        <x:v>각자 캐릭터는 왜 그렇게 만드신건가요? 형광색 버섯 모양 머리와 보라색 반쪽 악마 뿔 등등</x:v>
      </x:c>
      <x:c r="H66" s="9" t="str">
        <x:v>2주 전</x:v>
      </x:c>
      <x:c r="I66" s="9" t="str"/>
      <x:c r="J66" s="9" t="e">
        <x:f>HYPERLINK("captures/youtube/YT008.png","이미지 열기")</x:f>
        <x:v>HYPERLINK is not implemented. linkLocation=captures/youtube/YT008.png, friendlyName=이미지 열기</x:v>
      </x:c>
      <x:c r="K66" s="9" t="e">
        <x:f>HYPERLINK("https://www.youtube.com/post/UgkxaK_KVWEFqHAoOod4zs21zhC7nG8CFhne?lc=UgzxvjHsqr4KxuPBmj14AaABAg","원문 열기")</x:f>
        <x:v>HYPERLINK is not implemented. linkLocation=https://www.youtube.com/post/UgkxaK_KVWEFqHAoOod4zs21zhC7nG8CFhne?lc=UgzxvjHsqr4KxuPBmj14AaABAg, friendlyName=원문 열기</x:v>
      </x:c>
      <x:c r="L66" s="9" t="n">
        <x:v>8</x:v>
      </x:c>
      <x:c r="M66" s="9" t="str">
        <x:v>UgzxvjHsqr4KxuPBmj14AaABAg</x:v>
      </x:c>
    </x:row>
    <x:row r="67" ht="48" customHeight="1">
      <x:c r="A67" s="9" t="str">
        <x:v>YT009</x:v>
      </x:c>
      <x:c r="B67" s="20" t="str">
        <x:v>유튜브</x:v>
      </x:c>
      <x:c r="C67" s="9" t="str">
        <x:v>@ciyun2198</x:v>
      </x:c>
      <x:c r="D67" s="9" t="str">
        <x:v>질문</x:v>
      </x:c>
      <x:c r="E67" s="9" t="str">
        <x:v>AI 도구·요금제·작업 방식</x:v>
      </x:c>
      <x:c r="F67" s="10" t="str">
        <x:v>AI 도구·요금제·작업 방식 / 공모전 참여</x:v>
      </x:c>
      <x:c r="G67" s="10" t="str">
        <x:v>무슨 AI 쓰고 계신가요? 요금제는 얼마짜리 사용하나요? 무슨 작업에 주로 사용하고, 특별하게 사용하는 전용 워크플로우나 스킬이 있나요? 공모전 참여할 의향이 있나요?</x:v>
      </x:c>
      <x:c r="H67" s="9" t="str">
        <x:v>2주 전</x:v>
      </x:c>
      <x:c r="I67" s="9" t="str"/>
      <x:c r="J67" s="9" t="e">
        <x:f>HYPERLINK("captures/youtube/YT009.png","이미지 열기")</x:f>
        <x:v>HYPERLINK is not implemented. linkLocation=captures/youtube/YT009.png, friendlyName=이미지 열기</x:v>
      </x:c>
      <x:c r="K67" s="9" t="e">
        <x:f>HYPERLINK("https://www.youtube.com/post/UgkxaK_KVWEFqHAoOod4zs21zhC7nG8CFhne?lc=Ugxp4_ocEYHC_Jzjut14AaABAg","원문 열기")</x:f>
        <x:v>HYPERLINK is not implemented. linkLocation=https://www.youtube.com/post/UgkxaK_KVWEFqHAoOod4zs21zhC7nG8CFhne?lc=Ugxp4_ocEYHC_Jzjut14AaABAg, friendlyName=원문 열기</x:v>
      </x:c>
      <x:c r="L67" s="9" t="n">
        <x:v>9</x:v>
      </x:c>
      <x:c r="M67" s="9" t="str">
        <x:v>Ugxp4_ocEYHC_Jzjut14AaABAg</x:v>
      </x:c>
    </x:row>
    <x:row r="68" ht="48" customHeight="1">
      <x:c r="A68" s="9" t="str">
        <x:v>YT010</x:v>
      </x:c>
      <x:c r="B68" s="20" t="str">
        <x:v>유튜브</x:v>
      </x:c>
      <x:c r="C68" s="9" t="str">
        <x:v>@freemoonnight</x:v>
      </x:c>
      <x:c r="D68" s="9" t="str">
        <x:v>질문</x:v>
      </x:c>
      <x:c r="E68" s="9" t="str">
        <x:v>식사·커피·회식 에피소드</x:v>
      </x:c>
      <x:c r="F68" s="10" t="str">
        <x:v>식사·커피·회식 에피소드</x:v>
      </x:c>
      <x:c r="G68" s="10" t="str">
        <x:v>먹을걸로 다투신 적 있나요?</x:v>
      </x:c>
      <x:c r="H68" s="9" t="str">
        <x:v>2주 전</x:v>
      </x:c>
      <x:c r="I68" s="9" t="str"/>
      <x:c r="J68" s="9" t="e">
        <x:f>HYPERLINK("captures/youtube/YT010.png","이미지 열기")</x:f>
        <x:v>HYPERLINK is not implemented. linkLocation=captures/youtube/YT010.png, friendlyName=이미지 열기</x:v>
      </x:c>
      <x:c r="K68" s="9" t="e">
        <x:f>HYPERLINK("https://www.youtube.com/post/UgkxaK_KVWEFqHAoOod4zs21zhC7nG8CFhne?lc=UgxWZL-Y1aCV4pDOpkp4AaABAg","원문 열기")</x:f>
        <x:v>HYPERLINK is not implemented. linkLocation=https://www.youtube.com/post/UgkxaK_KVWEFqHAoOod4zs21zhC7nG8CFhne?lc=UgxWZL-Y1aCV4pDOpkp4AaABAg, friendlyName=원문 열기</x:v>
      </x:c>
      <x:c r="L68" s="9" t="n">
        <x:v>10</x:v>
      </x:c>
      <x:c r="M68" s="9" t="str">
        <x:v>UgxWZL-Y1aCV4pDOpkp4AaABAg</x:v>
      </x:c>
    </x:row>
    <x:row r="69" ht="48" customHeight="1">
      <x:c r="A69" s="9" t="str">
        <x:v>YT011</x:v>
      </x:c>
      <x:c r="B69" s="20" t="str">
        <x:v>유튜브</x:v>
      </x:c>
      <x:c r="C69" s="9" t="str">
        <x:v>@용용체-n9l</x:v>
      </x:c>
      <x:c r="D69" s="9" t="str">
        <x:v>질문</x:v>
      </x:c>
      <x:c r="E69" s="9" t="str">
        <x:v>업무 고충·직업병·탈주</x:v>
      </x:c>
      <x:c r="F69" s="10" t="str">
        <x:v>업무 고충·직업병·탈주</x:v>
      </x:c>
      <x:c r="G69" s="10" t="str">
        <x:v>직업병으로 생긴 헤프닝? 웃픈일? 속터지는일 있었나요???</x:v>
      </x:c>
      <x:c r="H69" s="9" t="str">
        <x:v>2주 전</x:v>
      </x:c>
      <x:c r="I69" s="9" t="str"/>
      <x:c r="J69" s="9" t="e">
        <x:f>HYPERLINK("captures/youtube/YT011.png","이미지 열기")</x:f>
        <x:v>HYPERLINK is not implemented. linkLocation=captures/youtube/YT011.png, friendlyName=이미지 열기</x:v>
      </x:c>
      <x:c r="K69" s="9" t="e">
        <x:f>HYPERLINK("https://www.youtube.com/post/UgkxaK_KVWEFqHAoOod4zs21zhC7nG8CFhne?lc=UgyGlaUtMhtlEOSi-Xd4AaABAg","원문 열기")</x:f>
        <x:v>HYPERLINK is not implemented. linkLocation=https://www.youtube.com/post/UgkxaK_KVWEFqHAoOod4zs21zhC7nG8CFhne?lc=UgyGlaUtMhtlEOSi-Xd4AaABAg, friendlyName=원문 열기</x:v>
      </x:c>
      <x:c r="L69" s="9" t="n">
        <x:v>11</x:v>
      </x:c>
      <x:c r="M69" s="9" t="str">
        <x:v>UgyGlaUtMhtlEOSi-Xd4AaABAg</x:v>
      </x:c>
    </x:row>
    <x:row r="70" ht="61" customHeight="1">
      <x:c r="A70" s="9" t="str">
        <x:v>X001</x:v>
      </x:c>
      <x:c r="B70" s="21" t="str">
        <x:v>X</x:v>
      </x:c>
      <x:c r="C70" s="9" t="str">
        <x:v>풀뜯는호야 (@Hoya_eat_grass)</x:v>
      </x:c>
      <x:c r="D70" s="9" t="str">
        <x:v>반응·응원</x:v>
      </x:c>
      <x:c r="E70" s="9" t="str">
        <x:v>응원·시청 반응</x:v>
      </x:c>
      <x:c r="F70" s="10" t="str">
        <x:v>응원·시청 반응</x:v>
      </x:c>
      <x:c r="G70" s="10" t="str">
        <x:v>타이밍이 환상적이네요!
한국은 마침 추석연휴인데
추석연휴 잘 보내세요~</x:v>
      </x:c>
      <x:c r="H70" s="9" t="str">
        <x:v>Sep 22</x:v>
      </x:c>
      <x:c r="I70" s="9" t="d">
        <x:v>2026-09-22T23:41:15.000Z</x:v>
      </x:c>
      <x:c r="J70" s="9" t="e">
        <x:f>HYPERLINK("captures/x/X001.png","이미지 열기")</x:f>
        <x:v>HYPERLINK is not implemented. linkLocation=captures/x/X001.png, friendlyName=이미지 열기</x:v>
      </x:c>
      <x:c r="K70" s="9" t="e">
        <x:f>HYPERLINK("https://x.com/Hoya_eat_grass/status/2102543780511662277","원문 열기")</x:f>
        <x:v>HYPERLINK is not implemented. linkLocation=https://x.com/Hoya_eat_grass/status/2102543780511662277, friendlyName=원문 열기</x:v>
      </x:c>
      <x:c r="L70" s="9" t="n">
        <x:v>1</x:v>
      </x:c>
      <x:c r="M70" s="9" t="str">
        <x:v>2102543780511662277</x:v>
      </x:c>
    </x:row>
    <x:row r="71" ht="48" customHeight="1">
      <x:c r="A71" s="9" t="str">
        <x:v>X002</x:v>
      </x:c>
      <x:c r="B71" s="21" t="str">
        <x:v>X</x:v>
      </x:c>
      <x:c r="C71" s="9" t="str">
        <x:v>풀뜯는호야 (@Hoya_eat_grass)</x:v>
      </x:c>
      <x:c r="D71" s="9" t="str">
        <x:v>질문</x:v>
      </x:c>
      <x:c r="E71" s="9" t="str">
        <x:v>BGM 선정·음악 방향</x:v>
      </x:c>
      <x:c r="F71" s="10" t="str">
        <x:v>BGM 선정·음악 방향</x:v>
      </x:c>
      <x:c r="G71" s="10" t="str">
        <x:v>BGM같은 경우에는 두분이 갓겜들을 많이하셔서 귀가 높으실텐데 선정하는데 어렵진 않으셨나요</x:v>
      </x:c>
      <x:c r="H71" s="9" t="str">
        <x:v>Sep 22</x:v>
      </x:c>
      <x:c r="I71" s="9" t="d">
        <x:v>2026-09-22T23:40:03.000Z</x:v>
      </x:c>
      <x:c r="J71" s="9" t="e">
        <x:f>HYPERLINK("captures/x/X002.png","이미지 열기")</x:f>
        <x:v>HYPERLINK is not implemented. linkLocation=captures/x/X002.png, friendlyName=이미지 열기</x:v>
      </x:c>
      <x:c r="K71" s="9" t="e">
        <x:f>HYPERLINK("https://x.com/Hoya_eat_grass/status/2102543480073670659","원문 열기")</x:f>
        <x:v>HYPERLINK is not implemented. linkLocation=https://x.com/Hoya_eat_grass/status/2102543480073670659, friendlyName=원문 열기</x:v>
      </x:c>
      <x:c r="L71" s="9" t="n">
        <x:v>2</x:v>
      </x:c>
      <x:c r="M71" s="9" t="str">
        <x:v>2102543480073670659</x:v>
      </x:c>
    </x:row>
    <x:row r="72" ht="48" customHeight="1">
      <x:c r="A72" s="9" t="str">
        <x:v>X003</x:v>
      </x:c>
      <x:c r="B72" s="21" t="str">
        <x:v>X</x:v>
      </x:c>
      <x:c r="C72" s="9" t="str">
        <x:v>풀뜯는호야 (@Hoya_eat_grass)</x:v>
      </x:c>
      <x:c r="D72" s="9" t="str">
        <x:v>질문</x:v>
      </x:c>
      <x:c r="E72" s="9" t="str">
        <x:v>좋아하는 게임·주력 장르</x:v>
      </x:c>
      <x:c r="F72" s="10" t="str">
        <x:v>좋아하는 게임·주력 장르</x:v>
      </x:c>
      <x:c r="G72" s="10" t="str">
        <x:v>두분은 주력 게임장르가 어떻게 되시나요</x:v>
      </x:c>
      <x:c r="H72" s="9" t="str">
        <x:v>Sep 22</x:v>
      </x:c>
      <x:c r="I72" s="9" t="d">
        <x:v>2026-09-22T23:38:53.000Z</x:v>
      </x:c>
      <x:c r="J72" s="9" t="e">
        <x:f>HYPERLINK("captures/x/X003.png","이미지 열기")</x:f>
        <x:v>HYPERLINK is not implemented. linkLocation=captures/x/X003.png, friendlyName=이미지 열기</x:v>
      </x:c>
      <x:c r="K72" s="9" t="e">
        <x:f>HYPERLINK("https://x.com/Hoya_eat_grass/status/2102543186380157433","원문 열기")</x:f>
        <x:v>HYPERLINK is not implemented. linkLocation=https://x.com/Hoya_eat_grass/status/2102543186380157433, friendlyName=원문 열기</x:v>
      </x:c>
      <x:c r="L72" s="9" t="n">
        <x:v>3</x:v>
      </x:c>
      <x:c r="M72" s="9" t="str">
        <x:v>2102543186380157433</x:v>
      </x:c>
    </x:row>
    <x:row r="73" ht="48" customHeight="1">
      <x:c r="A73" s="9" t="str">
        <x:v>X004</x:v>
      </x:c>
      <x:c r="B73" s="21" t="str">
        <x:v>X</x:v>
      </x:c>
      <x:c r="C73" s="9" t="str">
        <x:v>풀뜯는호야 (@Hoya_eat_grass)</x:v>
      </x:c>
      <x:c r="D73" s="9" t="str">
        <x:v>질문</x:v>
      </x:c>
      <x:c r="E73" s="9" t="str">
        <x:v>일상·운동·장난 질문</x:v>
      </x:c>
      <x:c r="F73" s="10" t="str">
        <x:v>일상·운동·장난 질문</x:v>
      </x:c>
      <x:c r="G73" s="10" t="str">
        <x:v>아트팀에 계시는 뉴욕핫걸님께서 본인은 전혀 핫하지 않다고 부정하시는데 어떻게생각하시나요</x:v>
      </x:c>
      <x:c r="H73" s="9" t="str">
        <x:v>Sep 22</x:v>
      </x:c>
      <x:c r="I73" s="9" t="d">
        <x:v>2026-09-22T23:32:51.000Z</x:v>
      </x:c>
      <x:c r="J73" s="9" t="e">
        <x:f>HYPERLINK("captures/x/X004.png","이미지 열기")</x:f>
        <x:v>HYPERLINK is not implemented. linkLocation=captures/x/X004.png, friendlyName=이미지 열기</x:v>
      </x:c>
      <x:c r="K73" s="9" t="e">
        <x:f>HYPERLINK("https://x.com/Hoya_eat_grass/status/2102541665760334003","원문 열기")</x:f>
        <x:v>HYPERLINK is not implemented. linkLocation=https://x.com/Hoya_eat_grass/status/2102541665760334003, friendlyName=원문 열기</x:v>
      </x:c>
      <x:c r="L73" s="9" t="n">
        <x:v>4</x:v>
      </x:c>
      <x:c r="M73" s="9" t="str">
        <x:v>2102541665760334003</x:v>
      </x:c>
    </x:row>
    <x:row r="74" ht="48" customHeight="1">
      <x:c r="A74" s="9" t="str">
        <x:v>X005</x:v>
      </x:c>
      <x:c r="B74" s="21" t="str">
        <x:v>X</x:v>
      </x:c>
      <x:c r="C74" s="9" t="str">
        <x:v>풀뜯는호야 (@Hoya_eat_grass)</x:v>
      </x:c>
      <x:c r="D74" s="9" t="str">
        <x:v>질문</x:v>
      </x:c>
      <x:c r="E74" s="9" t="str">
        <x:v>게임 기획·개발 범위 조절</x:v>
      </x:c>
      <x:c r="F74" s="10" t="str">
        <x:v>게임 기획·개발 범위 조절 / 업무 고충·직업병·탈주</x:v>
      </x:c>
      <x:c r="G74" s="10" t="str">
        <x:v>스토리와 디테일 광인이 계시다고 들었는데 직접 만들때 덜어내거나 시간이 없어서 미쳐 인게임내 구현 못하실때 심정이 궁금해요</x:v>
      </x:c>
      <x:c r="H74" s="9" t="str">
        <x:v>Sep 22</x:v>
      </x:c>
      <x:c r="I74" s="9" t="d">
        <x:v>2026-09-22T23:30:47.000Z</x:v>
      </x:c>
      <x:c r="J74" s="9" t="e">
        <x:f>HYPERLINK("captures/x/X005.png","이미지 열기")</x:f>
        <x:v>HYPERLINK is not implemented. linkLocation=captures/x/X005.png, friendlyName=이미지 열기</x:v>
      </x:c>
      <x:c r="K74" s="9" t="e">
        <x:f>HYPERLINK("https://x.com/Hoya_eat_grass/status/2102541149013708819","원문 열기")</x:f>
        <x:v>HYPERLINK is not implemented. linkLocation=https://x.com/Hoya_eat_grass/status/2102541149013708819, friendlyName=원문 열기</x:v>
      </x:c>
      <x:c r="L74" s="9" t="n">
        <x:v>5</x:v>
      </x:c>
      <x:c r="M74" s="9" t="str">
        <x:v>2102541149013708819</x:v>
      </x:c>
    </x:row>
    <x:row r="75" ht="48" customHeight="1">
      <x:c r="A75" s="9" t="str">
        <x:v>X006</x:v>
      </x:c>
      <x:c r="B75" s="21" t="str">
        <x:v>X</x:v>
      </x:c>
      <x:c r="C75" s="9" t="str">
        <x:v>1Broom (@The1Broom)</x:v>
      </x:c>
      <x:c r="D75" s="9" t="str">
        <x:v>질문</x:v>
      </x:c>
      <x:c r="E75" s="9" t="str">
        <x:v>게임 기획·개발 범위 조절</x:v>
      </x:c>
      <x:c r="F75" s="10" t="str">
        <x:v>게임 기획·개발 범위 조절</x:v>
      </x:c>
      <x:c r="G75" s="10" t="str">
        <x:v>Congrats on 5K. Question: what's one feature you cut from the game that you still secretly miss?</x:v>
      </x:c>
      <x:c r="H75" s="9" t="str">
        <x:v>Sep 22</x:v>
      </x:c>
      <x:c r="I75" s="9" t="d">
        <x:v>2026-09-22T23:21:33.000Z</x:v>
      </x:c>
      <x:c r="J75" s="9" t="e">
        <x:f>HYPERLINK("captures/x/X006.png","이미지 열기")</x:f>
        <x:v>HYPERLINK is not implemented. linkLocation=captures/x/X006.png, friendlyName=이미지 열기</x:v>
      </x:c>
      <x:c r="K75" s="9" t="e">
        <x:f>HYPERLINK("https://x.com/The1Broom/status/2102538824442114219","원문 열기")</x:f>
        <x:v>HYPERLINK is not implemented. linkLocation=https://x.com/The1Broom/status/2102538824442114219, friendlyName=원문 열기</x:v>
      </x:c>
      <x:c r="L75" s="9" t="n">
        <x:v>6</x:v>
      </x:c>
      <x:c r="M75" s="9" t="str">
        <x:v>2102538824442114219</x:v>
      </x:c>
    </x:row>
  </x:sheetData>
  <x:pageMargins left="0.7" right="0.7" top="0.75" bottom="0.75" header="0.3" footer="0.3"/>
  <x:tableParts count="1">
    <x:tablePart xmlns:r="http://schemas.openxmlformats.org/officeDocument/2006/relationships" r:id="R0ed8677ccdc74ce5"/>
  </x:tableParts>
</x:worksheet>
</file>